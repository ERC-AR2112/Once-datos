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Otros ordenadores\Mi portátil\Canal11\"/>
    </mc:Choice>
  </mc:AlternateContent>
  <xr:revisionPtr revIDLastSave="0" documentId="13_ncr:9_{61E9A791-5D3E-463D-B841-B90FF7A8BD36}" xr6:coauthVersionLast="47" xr6:coauthVersionMax="47" xr10:uidLastSave="{00000000-0000-0000-0000-000000000000}"/>
  <bookViews>
    <workbookView xWindow="28680" yWindow="-120" windowWidth="29040" windowHeight="15720" activeTab="1" xr2:uid="{60BB0066-DC84-4963-AB81-E25E606EDF86}"/>
  </bookViews>
  <sheets>
    <sheet name="Mayor" sheetId="2" r:id="rId1"/>
    <sheet name="desempleo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1" l="1"/>
  <c r="N6" i="11"/>
  <c r="N7" i="11"/>
  <c r="N8" i="11"/>
  <c r="N9" i="11"/>
  <c r="N10" i="11"/>
  <c r="N11" i="11"/>
  <c r="N12" i="11"/>
  <c r="N13" i="11"/>
  <c r="N14" i="11"/>
  <c r="N4" i="11"/>
  <c r="I188" i="2"/>
  <c r="H188" i="2"/>
  <c r="G188" i="2"/>
  <c r="E188" i="2"/>
  <c r="C188" i="2"/>
  <c r="D188" i="2" s="1"/>
  <c r="F37" i="2"/>
  <c r="F41" i="2"/>
  <c r="F58" i="2"/>
  <c r="F61" i="2"/>
  <c r="F97" i="2"/>
  <c r="F99" i="2"/>
  <c r="F100" i="2"/>
  <c r="F101" i="2"/>
  <c r="F112" i="2"/>
  <c r="F113" i="2"/>
  <c r="F117" i="2"/>
  <c r="F122" i="2"/>
  <c r="F137" i="2"/>
  <c r="F143" i="2"/>
  <c r="F157" i="2"/>
  <c r="F158" i="2"/>
  <c r="F159" i="2"/>
  <c r="F160" i="2"/>
  <c r="F161" i="2"/>
  <c r="F162" i="2"/>
  <c r="F163" i="2"/>
  <c r="D17" i="2"/>
  <c r="D58" i="2"/>
  <c r="D97" i="2"/>
  <c r="D117" i="2"/>
  <c r="D137" i="2"/>
  <c r="D138" i="2"/>
  <c r="D157" i="2"/>
  <c r="D158" i="2"/>
  <c r="D177" i="2"/>
  <c r="B4" i="2"/>
  <c r="F4" i="2" s="1"/>
  <c r="B5" i="2"/>
  <c r="D5" i="2" s="1"/>
  <c r="F5" i="2"/>
  <c r="B6" i="2"/>
  <c r="D6" i="2" s="1"/>
  <c r="B7" i="2"/>
  <c r="F7" i="2"/>
  <c r="B8" i="2"/>
  <c r="D8" i="2" s="1"/>
  <c r="B9" i="2"/>
  <c r="F9" i="2" s="1"/>
  <c r="B10" i="2"/>
  <c r="D10" i="2"/>
  <c r="B11" i="2"/>
  <c r="D11" i="2"/>
  <c r="B12" i="2"/>
  <c r="F12" i="2" s="1"/>
  <c r="B13" i="2"/>
  <c r="F13" i="2"/>
  <c r="B14" i="2"/>
  <c r="D14" i="2" s="1"/>
  <c r="F14" i="2"/>
  <c r="B15" i="2"/>
  <c r="D15" i="2" s="1"/>
  <c r="B16" i="2"/>
  <c r="F16" i="2" s="1"/>
  <c r="B17" i="2"/>
  <c r="F17" i="2"/>
  <c r="B18" i="2"/>
  <c r="D18" i="2" s="1"/>
  <c r="B19" i="2"/>
  <c r="D19" i="2"/>
  <c r="B20" i="2"/>
  <c r="D20" i="2" s="1"/>
  <c r="B21" i="2"/>
  <c r="D21" i="2" s="1"/>
  <c r="B22" i="2"/>
  <c r="D22" i="2"/>
  <c r="B23" i="2"/>
  <c r="D23" i="2"/>
  <c r="B24" i="2"/>
  <c r="F24" i="2" s="1"/>
  <c r="B25" i="2"/>
  <c r="D25" i="2" s="1"/>
  <c r="F25" i="2"/>
  <c r="B26" i="2"/>
  <c r="D26" i="2" s="1"/>
  <c r="F26" i="2"/>
  <c r="B27" i="2"/>
  <c r="F27" i="2" s="1"/>
  <c r="B28" i="2"/>
  <c r="F28" i="2" s="1"/>
  <c r="B29" i="2"/>
  <c r="F29" i="2"/>
  <c r="B30" i="2"/>
  <c r="D30" i="2" s="1"/>
  <c r="B31" i="2"/>
  <c r="D31" i="2"/>
  <c r="B32" i="2"/>
  <c r="F32" i="2" s="1"/>
  <c r="B33" i="2"/>
  <c r="F33" i="2" s="1"/>
  <c r="B34" i="2"/>
  <c r="F34" i="2"/>
  <c r="B35" i="2"/>
  <c r="D35" i="2"/>
  <c r="B36" i="2"/>
  <c r="F36" i="2" s="1"/>
  <c r="B37" i="2"/>
  <c r="D37" i="2" s="1"/>
  <c r="B38" i="2"/>
  <c r="F38" i="2" s="1"/>
  <c r="B39" i="2"/>
  <c r="F39" i="2" s="1"/>
  <c r="D39" i="2"/>
  <c r="B40" i="2"/>
  <c r="D40" i="2" s="1"/>
  <c r="B41" i="2"/>
  <c r="D41" i="2" s="1"/>
  <c r="B42" i="2"/>
  <c r="F42" i="2" s="1"/>
  <c r="D42" i="2"/>
  <c r="B43" i="2"/>
  <c r="F43" i="2" s="1"/>
  <c r="B44" i="2"/>
  <c r="F44" i="2"/>
  <c r="B45" i="2"/>
  <c r="D45" i="2" s="1"/>
  <c r="B46" i="2"/>
  <c r="F46" i="2" s="1"/>
  <c r="B47" i="2"/>
  <c r="F47" i="2"/>
  <c r="B48" i="2"/>
  <c r="F48" i="2"/>
  <c r="B49" i="2"/>
  <c r="F49" i="2" s="1"/>
  <c r="B50" i="2"/>
  <c r="F50" i="2"/>
  <c r="B51" i="2"/>
  <c r="D51" i="2"/>
  <c r="B52" i="2"/>
  <c r="F52" i="2" s="1"/>
  <c r="B53" i="2"/>
  <c r="F53" i="2" s="1"/>
  <c r="B54" i="2"/>
  <c r="F54" i="2" s="1"/>
  <c r="D54" i="2"/>
  <c r="B55" i="2"/>
  <c r="F55" i="2" s="1"/>
  <c r="B56" i="2"/>
  <c r="D56" i="2"/>
  <c r="B57" i="2"/>
  <c r="F57" i="2" s="1"/>
  <c r="B58" i="2"/>
  <c r="B59" i="2"/>
  <c r="D59" i="2" s="1"/>
  <c r="B60" i="2"/>
  <c r="F60" i="2" s="1"/>
  <c r="D60" i="2"/>
  <c r="B61" i="2"/>
  <c r="D61" i="2"/>
  <c r="B62" i="2"/>
  <c r="F62" i="2" s="1"/>
  <c r="B63" i="2"/>
  <c r="F63" i="2" s="1"/>
  <c r="D63" i="2"/>
  <c r="B64" i="2"/>
  <c r="F64" i="2"/>
  <c r="B65" i="2"/>
  <c r="D65" i="2" s="1"/>
  <c r="B66" i="2"/>
  <c r="D66" i="2" s="1"/>
  <c r="B67" i="2"/>
  <c r="F67" i="2"/>
  <c r="B68" i="2"/>
  <c r="F68" i="2" s="1"/>
  <c r="B69" i="2"/>
  <c r="F69" i="2"/>
  <c r="B70" i="2"/>
  <c r="F70" i="2" s="1"/>
  <c r="B71" i="2"/>
  <c r="D71" i="2" s="1"/>
  <c r="B72" i="2"/>
  <c r="D72" i="2"/>
  <c r="B73" i="2"/>
  <c r="D73" i="2"/>
  <c r="B74" i="2"/>
  <c r="F74" i="2" s="1"/>
  <c r="B75" i="2"/>
  <c r="D75" i="2"/>
  <c r="B76" i="2"/>
  <c r="F76" i="2" s="1"/>
  <c r="D76" i="2"/>
  <c r="B77" i="2"/>
  <c r="D77" i="2" s="1"/>
  <c r="B78" i="2"/>
  <c r="D78" i="2" s="1"/>
  <c r="B79" i="2"/>
  <c r="F79" i="2" s="1"/>
  <c r="B80" i="2"/>
  <c r="F80" i="2" s="1"/>
  <c r="D80" i="2"/>
  <c r="B81" i="2"/>
  <c r="D81" i="2" s="1"/>
  <c r="B82" i="2"/>
  <c r="D82" i="2"/>
  <c r="B83" i="2"/>
  <c r="F83" i="2" s="1"/>
  <c r="B84" i="2"/>
  <c r="F84" i="2" s="1"/>
  <c r="B85" i="2"/>
  <c r="F85" i="2"/>
  <c r="B86" i="2"/>
  <c r="F86" i="2"/>
  <c r="B87" i="2"/>
  <c r="F87" i="2" s="1"/>
  <c r="B88" i="2"/>
  <c r="F88" i="2"/>
  <c r="B89" i="2"/>
  <c r="D89" i="2" s="1"/>
  <c r="F89" i="2"/>
  <c r="B90" i="2"/>
  <c r="F90" i="2" s="1"/>
  <c r="B91" i="2"/>
  <c r="D91" i="2" s="1"/>
  <c r="B92" i="2"/>
  <c r="F92" i="2"/>
  <c r="B93" i="2"/>
  <c r="D93" i="2" s="1"/>
  <c r="B94" i="2"/>
  <c r="F94" i="2"/>
  <c r="B95" i="2"/>
  <c r="F95" i="2" s="1"/>
  <c r="B96" i="2"/>
  <c r="F96" i="2" s="1"/>
  <c r="B97" i="2"/>
  <c r="B98" i="2"/>
  <c r="D98" i="2" s="1"/>
  <c r="B99" i="2"/>
  <c r="D99" i="2"/>
  <c r="B100" i="2"/>
  <c r="D100" i="2" s="1"/>
  <c r="B101" i="2"/>
  <c r="D101" i="2"/>
  <c r="B102" i="2"/>
  <c r="F102" i="2" s="1"/>
  <c r="D102" i="2"/>
  <c r="B103" i="2"/>
  <c r="D103" i="2" s="1"/>
  <c r="B104" i="2"/>
  <c r="F104" i="2" s="1"/>
  <c r="B105" i="2"/>
  <c r="D105" i="2" s="1"/>
  <c r="F105" i="2"/>
  <c r="B106" i="2"/>
  <c r="D106" i="2" s="1"/>
  <c r="B107" i="2"/>
  <c r="F107" i="2"/>
  <c r="B108" i="2"/>
  <c r="F108" i="2" s="1"/>
  <c r="B109" i="2"/>
  <c r="F109" i="2" s="1"/>
  <c r="B110" i="2"/>
  <c r="F110" i="2"/>
  <c r="B111" i="2"/>
  <c r="D111" i="2"/>
  <c r="B112" i="2"/>
  <c r="D112" i="2" s="1"/>
  <c r="B113" i="2"/>
  <c r="D113" i="2"/>
  <c r="B114" i="2"/>
  <c r="F114" i="2" s="1"/>
  <c r="D114" i="2"/>
  <c r="B115" i="2"/>
  <c r="F115" i="2" s="1"/>
  <c r="D115" i="2"/>
  <c r="B116" i="2"/>
  <c r="F116" i="2" s="1"/>
  <c r="B117" i="2"/>
  <c r="B118" i="2"/>
  <c r="D118" i="2" s="1"/>
  <c r="B119" i="2"/>
  <c r="D119" i="2" s="1"/>
  <c r="B120" i="2"/>
  <c r="F120" i="2" s="1"/>
  <c r="D120" i="2"/>
  <c r="B121" i="2"/>
  <c r="F121" i="2" s="1"/>
  <c r="D121" i="2"/>
  <c r="B122" i="2"/>
  <c r="D122" i="2"/>
  <c r="B123" i="2"/>
  <c r="D123" i="2" s="1"/>
  <c r="B124" i="2"/>
  <c r="F124" i="2" s="1"/>
  <c r="B125" i="2"/>
  <c r="F125" i="2"/>
  <c r="B126" i="2"/>
  <c r="F126" i="2"/>
  <c r="B127" i="2"/>
  <c r="F127" i="2"/>
  <c r="B128" i="2"/>
  <c r="D128" i="2" s="1"/>
  <c r="F128" i="2"/>
  <c r="B129" i="2"/>
  <c r="D129" i="2" s="1"/>
  <c r="B130" i="2"/>
  <c r="F130" i="2"/>
  <c r="B131" i="2"/>
  <c r="F131" i="2" s="1"/>
  <c r="B132" i="2"/>
  <c r="D132" i="2"/>
  <c r="B133" i="2"/>
  <c r="D133" i="2" s="1"/>
  <c r="F133" i="2"/>
  <c r="B134" i="2"/>
  <c r="D134" i="2"/>
  <c r="B135" i="2"/>
  <c r="F135" i="2" s="1"/>
  <c r="B136" i="2"/>
  <c r="D136" i="2" s="1"/>
  <c r="B137" i="2"/>
  <c r="B138" i="2"/>
  <c r="F138" i="2" s="1"/>
  <c r="B139" i="2"/>
  <c r="F139" i="2" s="1"/>
  <c r="D139" i="2"/>
  <c r="B140" i="2"/>
  <c r="F140" i="2" s="1"/>
  <c r="D140" i="2"/>
  <c r="B141" i="2"/>
  <c r="F141" i="2" s="1"/>
  <c r="D141" i="2"/>
  <c r="B142" i="2"/>
  <c r="F142" i="2" s="1"/>
  <c r="B143" i="2"/>
  <c r="D143" i="2"/>
  <c r="B144" i="2"/>
  <c r="D144" i="2" s="1"/>
  <c r="B145" i="2"/>
  <c r="F145" i="2"/>
  <c r="B146" i="2"/>
  <c r="F146" i="2"/>
  <c r="B147" i="2"/>
  <c r="F147" i="2"/>
  <c r="B148" i="2"/>
  <c r="F148" i="2" s="1"/>
  <c r="B149" i="2"/>
  <c r="F149" i="2" s="1"/>
  <c r="B150" i="2"/>
  <c r="D150" i="2" s="1"/>
  <c r="F150" i="2"/>
  <c r="B151" i="2"/>
  <c r="D151" i="2"/>
  <c r="B152" i="2"/>
  <c r="F152" i="2"/>
  <c r="B153" i="2"/>
  <c r="F153" i="2" s="1"/>
  <c r="D153" i="2"/>
  <c r="B154" i="2"/>
  <c r="F154" i="2" s="1"/>
  <c r="B155" i="2"/>
  <c r="F155" i="2"/>
  <c r="B156" i="2"/>
  <c r="D156" i="2" s="1"/>
  <c r="B157" i="2"/>
  <c r="B158" i="2"/>
  <c r="B159" i="2"/>
  <c r="D159" i="2"/>
  <c r="B160" i="2"/>
  <c r="D160" i="2"/>
  <c r="B161" i="2"/>
  <c r="D161" i="2" s="1"/>
  <c r="B162" i="2"/>
  <c r="D162" i="2" s="1"/>
  <c r="B163" i="2"/>
  <c r="D163" i="2"/>
  <c r="B164" i="2"/>
  <c r="F164" i="2"/>
  <c r="B165" i="2"/>
  <c r="D165" i="2" s="1"/>
  <c r="F165" i="2"/>
  <c r="B166" i="2"/>
  <c r="D166" i="2" s="1"/>
  <c r="F166" i="2"/>
  <c r="B167" i="2"/>
  <c r="F167" i="2" s="1"/>
  <c r="B168" i="2"/>
  <c r="F168" i="2"/>
  <c r="B169" i="2"/>
  <c r="D169" i="2" s="1"/>
  <c r="B170" i="2"/>
  <c r="F170" i="2"/>
  <c r="B171" i="2"/>
  <c r="D171" i="2"/>
  <c r="B172" i="2"/>
  <c r="D172" i="2"/>
  <c r="B173" i="2"/>
  <c r="F173" i="2" s="1"/>
  <c r="B174" i="2"/>
  <c r="D174" i="2" s="1"/>
  <c r="B175" i="2"/>
  <c r="D175" i="2"/>
  <c r="B176" i="2"/>
  <c r="F176" i="2"/>
  <c r="B177" i="2"/>
  <c r="F177" i="2" s="1"/>
  <c r="B178" i="2"/>
  <c r="D178" i="2" s="1"/>
  <c r="B179" i="2"/>
  <c r="F179" i="2" s="1"/>
  <c r="D179" i="2"/>
  <c r="B180" i="2"/>
  <c r="F180" i="2" s="1"/>
  <c r="B181" i="2"/>
  <c r="D181" i="2"/>
  <c r="B182" i="2"/>
  <c r="F182" i="2" s="1"/>
  <c r="B183" i="2"/>
  <c r="D183" i="2"/>
  <c r="B184" i="2"/>
  <c r="F184" i="2"/>
  <c r="B185" i="2"/>
  <c r="F185" i="2"/>
  <c r="B186" i="2"/>
  <c r="F186" i="2" s="1"/>
  <c r="B187" i="2"/>
  <c r="F187" i="2" s="1"/>
  <c r="B3" i="2"/>
  <c r="F3" i="2"/>
  <c r="D96" i="2"/>
  <c r="D95" i="2"/>
  <c r="D94" i="2"/>
  <c r="D152" i="2"/>
  <c r="D92" i="2"/>
  <c r="F136" i="2"/>
  <c r="D32" i="2"/>
  <c r="F35" i="2"/>
  <c r="F134" i="2"/>
  <c r="D135" i="2"/>
  <c r="D16" i="2"/>
  <c r="D74" i="2"/>
  <c r="F175" i="2"/>
  <c r="D34" i="2"/>
  <c r="F73" i="2"/>
  <c r="F72" i="2"/>
  <c r="F132" i="2"/>
  <c r="D13" i="2"/>
  <c r="D176" i="2"/>
  <c r="D12" i="2"/>
  <c r="F56" i="2"/>
  <c r="B188" i="2"/>
  <c r="F188" i="2" s="1"/>
  <c r="D173" i="2"/>
  <c r="D55" i="2"/>
  <c r="F181" i="2"/>
  <c r="F81" i="2"/>
  <c r="D155" i="2"/>
  <c r="F75" i="2"/>
  <c r="F172" i="2"/>
  <c r="F183" i="2"/>
  <c r="F82" i="2"/>
  <c r="F23" i="2"/>
  <c r="F22" i="2"/>
  <c r="F21" i="2"/>
  <c r="F20" i="2"/>
  <c r="F19" i="2"/>
  <c r="D187" i="2"/>
  <c r="D167" i="2"/>
  <c r="D147" i="2"/>
  <c r="D127" i="2"/>
  <c r="D107" i="2"/>
  <c r="D87" i="2"/>
  <c r="D67" i="2"/>
  <c r="D47" i="2"/>
  <c r="D7" i="2"/>
  <c r="D186" i="2"/>
  <c r="D146" i="2"/>
  <c r="D126" i="2"/>
  <c r="D86" i="2"/>
  <c r="F171" i="2"/>
  <c r="F151" i="2"/>
  <c r="F111" i="2"/>
  <c r="F91" i="2"/>
  <c r="F71" i="2"/>
  <c r="F51" i="2"/>
  <c r="F31" i="2"/>
  <c r="F11" i="2"/>
  <c r="F10" i="2"/>
  <c r="D3" i="2"/>
  <c r="D170" i="2"/>
  <c r="D130" i="2"/>
  <c r="D110" i="2"/>
  <c r="D70" i="2"/>
  <c r="D50" i="2"/>
  <c r="D149" i="2"/>
  <c r="D69" i="2"/>
  <c r="D49" i="2"/>
  <c r="D29" i="2"/>
  <c r="D9" i="2"/>
  <c r="D168" i="2"/>
  <c r="D148" i="2"/>
  <c r="D108" i="2"/>
  <c r="D88" i="2"/>
  <c r="D68" i="2"/>
  <c r="D48" i="2"/>
  <c r="D28" i="2"/>
  <c r="D185" i="2"/>
  <c r="D145" i="2"/>
  <c r="D125" i="2"/>
  <c r="D85" i="2"/>
  <c r="D184" i="2"/>
  <c r="D164" i="2"/>
  <c r="D124" i="2"/>
  <c r="D104" i="2"/>
  <c r="D84" i="2"/>
  <c r="D64" i="2"/>
  <c r="D44" i="2"/>
  <c r="D24" i="2"/>
  <c r="D4" i="2"/>
  <c r="D90" i="2" l="1"/>
  <c r="F174" i="2"/>
  <c r="D83" i="2"/>
  <c r="F45" i="2"/>
  <c r="F8" i="2"/>
  <c r="D57" i="2"/>
  <c r="F123" i="2"/>
  <c r="D116" i="2"/>
  <c r="D53" i="2"/>
  <c r="F59" i="2"/>
  <c r="F103" i="2"/>
  <c r="D52" i="2"/>
  <c r="D36" i="2"/>
  <c r="D154" i="2"/>
  <c r="D27" i="2"/>
  <c r="F93" i="2"/>
  <c r="D38" i="2"/>
  <c r="F106" i="2"/>
  <c r="D43" i="2"/>
  <c r="F30" i="2"/>
  <c r="F18" i="2"/>
  <c r="F6" i="2"/>
  <c r="F119" i="2"/>
  <c r="D182" i="2"/>
  <c r="F169" i="2"/>
  <c r="F156" i="2"/>
  <c r="F144" i="2"/>
  <c r="D131" i="2"/>
  <c r="F118" i="2"/>
  <c r="F40" i="2"/>
  <c r="D79" i="2"/>
  <c r="F66" i="2"/>
  <c r="F178" i="2"/>
  <c r="D180" i="2"/>
  <c r="D142" i="2"/>
  <c r="F129" i="2"/>
  <c r="F65" i="2"/>
  <c r="F15" i="2"/>
  <c r="D62" i="2"/>
  <c r="F98" i="2"/>
  <c r="D46" i="2"/>
  <c r="F78" i="2"/>
  <c r="F77" i="2"/>
  <c r="D109" i="2"/>
  <c r="D33" i="2"/>
</calcChain>
</file>

<file path=xl/sharedStrings.xml><?xml version="1.0" encoding="utf-8"?>
<sst xmlns="http://schemas.openxmlformats.org/spreadsheetml/2006/main" count="212" uniqueCount="211">
  <si>
    <t>John W. Ewing, Jr.</t>
  </si>
  <si>
    <t>Jean Stothert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</si>
  <si>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</si>
  <si>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</si>
  <si>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</si>
  <si>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</si>
  <si>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</si>
  <si>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</si>
  <si>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</si>
  <si>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</si>
  <si>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</si>
  <si>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</si>
  <si>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</si>
  <si>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</si>
  <si>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</si>
  <si>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</si>
  <si>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</si>
  <si>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</si>
  <si>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</si>
  <si>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</si>
  <si>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</si>
  <si>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</si>
  <si>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</si>
  <si>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</si>
  <si>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</si>
  <si>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</si>
  <si>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</si>
  <si>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</si>
  <si>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</si>
  <si>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</si>
  <si>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</si>
  <si>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</si>
  <si>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</si>
  <si>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</si>
  <si>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</si>
  <si>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</si>
  <si>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</si>
  <si>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</si>
  <si>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</si>
  <si>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</si>
  <si>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</si>
  <si>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</si>
  <si>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</si>
  <si>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</si>
  <si>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</si>
  <si>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</si>
  <si>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</si>
  <si>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</si>
  <si>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</si>
  <si>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</si>
  <si>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</si>
  <si>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</si>
  <si>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</si>
  <si>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</si>
  <si>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</si>
  <si>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</si>
  <si>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</si>
  <si>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</si>
  <si>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</si>
  <si>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</si>
  <si>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</si>
  <si>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</si>
  <si>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</si>
  <si>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</si>
  <si>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</si>
  <si>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</si>
  <si>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</si>
  <si>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</si>
  <si>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</si>
  <si>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</si>
  <si>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</si>
  <si>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</si>
  <si>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</si>
  <si>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</si>
  <si>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</si>
  <si>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</si>
  <si>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</si>
  <si>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</si>
  <si>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</si>
  <si>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</si>
  <si>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</si>
  <si>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</si>
  <si>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</si>
  <si>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</si>
  <si>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</si>
  <si>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</si>
  <si>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</si>
  <si>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</si>
  <si>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</si>
  <si>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</si>
  <si>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</si>
  <si>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</si>
  <si>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</si>
  <si>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</si>
  <si>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</si>
  <si>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</si>
  <si>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</si>
  <si>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</si>
  <si>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05-01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</si>
  <si>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</si>
  <si>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</si>
  <si>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</si>
  <si>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</si>
  <si>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</si>
  <si>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</si>
  <si>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</si>
  <si>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</si>
  <si>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</si>
  <si>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05-11</t>
  </si>
  <si>
    <t>05-12</t>
  </si>
  <si>
    <t>05-13</t>
  </si>
  <si>
    <t>05-14</t>
  </si>
  <si>
    <t>05-15</t>
  </si>
  <si>
    <t>05-16</t>
  </si>
  <si>
    <t>05-17</t>
  </si>
  <si>
    <t>05-18</t>
  </si>
  <si>
    <t>05-19</t>
  </si>
  <si>
    <t>05-20</t>
  </si>
  <si>
    <t>05-21</t>
  </si>
  <si>
    <t>05-22</t>
  </si>
  <si>
    <t>05-23</t>
  </si>
  <si>
    <t>05-24</t>
  </si>
  <si>
    <t>05-25</t>
  </si>
  <si>
    <t>05-26</t>
  </si>
  <si>
    <t>05-27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</si>
  <si>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</si>
  <si>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</si>
  <si>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</si>
  <si>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</si>
  <si>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</si>
  <si>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</si>
  <si>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</si>
  <si>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</si>
  <si>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</si>
  <si>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</si>
  <si>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</si>
  <si>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</si>
  <si>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</si>
  <si>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</si>
  <si>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</si>
  <si>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06-16</t>
  </si>
  <si>
    <t>06-17</t>
  </si>
  <si>
    <t>06-18</t>
  </si>
  <si>
    <t>06-19</t>
  </si>
  <si>
    <t>06-20</t>
  </si>
  <si>
    <t>06-21</t>
  </si>
  <si>
    <t>06-22</t>
  </si>
  <si>
    <t>06-23</t>
  </si>
  <si>
    <t>06-24</t>
  </si>
  <si>
    <t>06-25</t>
  </si>
  <si>
    <t>06-26</t>
  </si>
  <si>
    <t>06-27</t>
  </si>
  <si>
    <t>06-28</t>
  </si>
  <si>
    <t>06-29</t>
  </si>
  <si>
    <t>06-30</t>
  </si>
  <si>
    <t>06-31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</si>
  <si>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</si>
  <si>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</si>
  <si>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</si>
  <si>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</si>
  <si>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</si>
  <si>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</si>
  <si>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</si>
  <si>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</si>
  <si>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</si>
  <si>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</si>
  <si>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</si>
  <si>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</si>
  <si>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</si>
  <si>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</si>
  <si>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</si>
  <si>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</si>
  <si>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</si>
  <si>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</si>
  <si>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</si>
  <si>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</si>
  <si>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</si>
  <si>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</si>
  <si>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</si>
  <si>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</si>
  <si>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</si>
  <si>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</si>
  <si>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</si>
  <si>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</si>
  <si>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</si>
  <si>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</si>
  <si>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</si>
  <si>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Totals</t>
  </si>
  <si>
    <t>Ward-Precinct</t>
  </si>
  <si>
    <t>Total Votes</t>
  </si>
  <si>
    <t>% of Vote</t>
  </si>
  <si>
    <t>Write-ins</t>
  </si>
  <si>
    <t>Over Votes</t>
  </si>
  <si>
    <t>Under Votes</t>
  </si>
  <si>
    <t>Omaha Mayor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</si>
  <si>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</si>
  <si>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</si>
  <si>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</si>
  <si>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</si>
  <si>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</si>
  <si>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</si>
  <si>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</si>
  <si>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</si>
  <si>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</si>
  <si>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</si>
  <si>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</si>
  <si>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</si>
  <si>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</si>
  <si>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</si>
  <si>
    <t>Desempleo</t>
  </si>
  <si>
    <t xml:space="preserve">Promedio anual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</si>
</sst>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0.0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sz val="11"/>
      <color indexed="8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3" fontId="2" fillId="0" borderId="0" xfId="0" applyNumberFormat="1" applyFont="1"/>
    <xf numFmtId="14" fontId="2" fillId="0" borderId="0" xfId="0" applyNumberFormat="1" applyFont="1"/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3" fontId="2" fillId="0" borderId="1" xfId="0" applyNumberFormat="1" applyFont="1" applyBorder="1" applyAlignment="1">
      <alignment horizontal="center" wrapText="1"/>
    </xf>
    <xf numFmtId="10" fontId="2" fillId="0" borderId="1" xfId="0" applyNumberFormat="1" applyFont="1" applyBorder="1" applyAlignment="1">
      <alignment horizontal="center" wrapText="1"/>
    </xf>
    <xf numFmtId="10" fontId="2" fillId="0" borderId="1" xfId="0" applyNumberFormat="1" applyFont="1" applyBorder="1"/>
    <xf numFmtId="10" fontId="2" fillId="0" borderId="0" xfId="0" applyNumberFormat="1" applyFont="1"/>
    <xf numFmtId="49" fontId="3" fillId="0" borderId="1" xfId="0" applyNumberFormat="1" applyFont="1" applyBorder="1"/>
    <xf numFmtId="3" fontId="3" fillId="0" borderId="1" xfId="0" applyNumberFormat="1" applyFont="1" applyBorder="1"/>
    <xf numFmtId="10" fontId="3" fillId="0" borderId="1" xfId="0" applyNumberFormat="1" applyFont="1" applyBorder="1"/>
    <xf numFmtId="0" fontId="4" fillId="0" borderId="0" xfId="0" applyFont="1"/>
    <xf numFmtId="0" fontId="0" fillId="0" borderId="0" xfId="0"/>
    <xf numFmtId="0" fontId="5" fillId="0" borderId="0" xfId="1"/>
    <xf numFmtId="0" fontId="7" fillId="0" borderId="2" xfId="1" applyFont="1" applyFill="1" applyBorder="1" applyAlignment="1">
      <alignment horizontal="center" wrapText="1"/>
    </xf>
    <xf numFmtId="0" fontId="7" fillId="0" borderId="0" xfId="1" applyFont="1" applyFill="1" applyAlignment="1">
      <alignment horizontal="left"/>
    </xf>
    <xf numFmtId="176" fontId="6" fillId="0" borderId="0" xfId="1" applyNumberFormat="1" applyFont="1" applyFill="1" applyAlignment="1">
      <alignment horizontal="right"/>
    </xf>
    <xf numFmtId="0" fontId="7" fillId="0" borderId="0" xfId="1" applyFont="1" applyFill="1" applyBorder="1" applyAlignment="1">
      <alignment horizontal="center" wrapText="1"/>
    </xf>
    <xf numFmtId="176" fontId="0" fillId="0" borderId="0" xfId="0" applyNumberFormat="1"/>
  </cellXfs>
  <cellStyles count="2">
    <cellStyle name="Normal" xfId="0" builtinId="0"/>
    <cellStyle name="Normal 2" xfId="1" xr:uid="{2D153C26-1D5B-4FB6-8C24-3B624E1D61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18CD-33C4-4E74-AFF9-E188D3B99BC0}">
  <dimension ref="A1:J188"/>
  <sheetViews>
    <sheetView workbookViewId="0">
      <pane ySplit="2" topLeftCell="A3" activePane="bottomLeft" state="frozen"/>
      <selection pane="bottomLeft" activeCell="Q47" sqref="Q47"/>
    </sheetView>
  </sheetViews>
  <sheetFormatPr baseColWidth="10" defaultColWidth="9.140625" defaultRowHeight="12.75" x14ac:dyDescent="0.2"/>
  <cols>
    <col min="1" max="1" width="8.5703125" style="1" customWidth="1"/>
    <col min="2" max="2" width="9.140625" style="3"/>
    <col min="3" max="3" width="9.140625" style="1"/>
    <col min="4" max="4" width="8.5703125" style="13" customWidth="1"/>
    <col min="5" max="5" width="8.28515625" style="1" customWidth="1"/>
    <col min="6" max="6" width="7.85546875" style="13" customWidth="1"/>
    <col min="7" max="9" width="7" style="1" customWidth="1"/>
    <col min="10" max="16384" width="9.140625" style="1"/>
  </cols>
  <sheetData>
    <row r="1" spans="1:10" ht="20.25" x14ac:dyDescent="0.3">
      <c r="A1" s="17" t="s">
        <v>194</v>
      </c>
      <c r="B1" s="18"/>
      <c r="C1" s="18"/>
      <c r="D1" s="18"/>
      <c r="E1" s="18"/>
      <c r="F1" s="18"/>
      <c r="G1" s="18"/>
      <c r="H1" s="18"/>
      <c r="I1" s="18"/>
      <c r="J1" s="4">
        <v>45790</v>
      </c>
    </row>
    <row r="2" spans="1:10" s="2" customFormat="1" ht="25.5" x14ac:dyDescent="0.2">
      <c r="A2" s="5" t="s">
        <v>188</v>
      </c>
      <c r="B2" s="10" t="s">
        <v>189</v>
      </c>
      <c r="C2" s="6" t="s">
        <v>0</v>
      </c>
      <c r="D2" s="11" t="s">
        <v>190</v>
      </c>
      <c r="E2" s="6" t="s">
        <v>1</v>
      </c>
      <c r="F2" s="11" t="s">
        <v>190</v>
      </c>
      <c r="G2" s="6" t="s">
        <v>191</v>
      </c>
      <c r="H2" s="5" t="s">
        <v>192</v>
      </c>
      <c r="I2" s="5" t="s">
        <v>193</v>
      </c>
    </row>
    <row r="3" spans="1:10" x14ac:dyDescent="0.2">
      <c r="A3" s="7" t="s">
        <v>2</v>
      </c>
      <c r="B3" s="9">
        <f>SUM(C3,E3,G3)</f>
        <v>793</v>
      </c>
      <c r="C3" s="8">
        <v>479</v>
      </c>
      <c r="D3" s="12">
        <f>C3/B3</f>
        <v>0.60403530895334179</v>
      </c>
      <c r="E3" s="8">
        <v>314</v>
      </c>
      <c r="F3" s="12">
        <f>E3/B3</f>
        <v>0.39596469104665827</v>
      </c>
      <c r="G3" s="8">
        <v>0</v>
      </c>
      <c r="H3" s="8">
        <v>0</v>
      </c>
      <c r="I3" s="8">
        <v>4</v>
      </c>
    </row>
    <row r="4" spans="1:10" x14ac:dyDescent="0.2">
      <c r="A4" s="7" t="s">
        <v>3</v>
      </c>
      <c r="B4" s="9">
        <f t="shared" ref="B4:B67" si="0">SUM(C4,E4,G4)</f>
        <v>255</v>
      </c>
      <c r="C4" s="8">
        <v>167</v>
      </c>
      <c r="D4" s="12">
        <f t="shared" ref="D4:D67" si="1">C4/B4</f>
        <v>0.65490196078431373</v>
      </c>
      <c r="E4" s="8">
        <v>87</v>
      </c>
      <c r="F4" s="12">
        <f t="shared" ref="F4:F67" si="2">E4/B4</f>
        <v>0.3411764705882353</v>
      </c>
      <c r="G4" s="8">
        <v>1</v>
      </c>
      <c r="H4" s="8">
        <v>0</v>
      </c>
      <c r="I4" s="8">
        <v>0</v>
      </c>
    </row>
    <row r="5" spans="1:10" x14ac:dyDescent="0.2">
      <c r="A5" s="7" t="s">
        <v>4</v>
      </c>
      <c r="B5" s="9">
        <f t="shared" si="0"/>
        <v>729</v>
      </c>
      <c r="C5" s="8">
        <v>460</v>
      </c>
      <c r="D5" s="12">
        <f t="shared" si="1"/>
        <v>0.63100137174211246</v>
      </c>
      <c r="E5" s="8">
        <v>268</v>
      </c>
      <c r="F5" s="12">
        <f t="shared" si="2"/>
        <v>0.36762688614540467</v>
      </c>
      <c r="G5" s="8">
        <v>1</v>
      </c>
      <c r="H5" s="8">
        <v>1</v>
      </c>
      <c r="I5" s="8">
        <v>3</v>
      </c>
    </row>
    <row r="6" spans="1:10" x14ac:dyDescent="0.2">
      <c r="A6" s="7" t="s">
        <v>5</v>
      </c>
      <c r="B6" s="9">
        <f t="shared" si="0"/>
        <v>412</v>
      </c>
      <c r="C6" s="8">
        <v>299</v>
      </c>
      <c r="D6" s="12">
        <f t="shared" si="1"/>
        <v>0.72572815533980584</v>
      </c>
      <c r="E6" s="8">
        <v>112</v>
      </c>
      <c r="F6" s="12">
        <f t="shared" si="2"/>
        <v>0.27184466019417475</v>
      </c>
      <c r="G6" s="8">
        <v>1</v>
      </c>
      <c r="H6" s="8">
        <v>0</v>
      </c>
      <c r="I6" s="8">
        <v>0</v>
      </c>
    </row>
    <row r="7" spans="1:10" x14ac:dyDescent="0.2">
      <c r="A7" s="7" t="s">
        <v>6</v>
      </c>
      <c r="B7" s="9">
        <f t="shared" si="0"/>
        <v>361</v>
      </c>
      <c r="C7" s="8">
        <v>266</v>
      </c>
      <c r="D7" s="12">
        <f t="shared" si="1"/>
        <v>0.73684210526315785</v>
      </c>
      <c r="E7" s="8">
        <v>89</v>
      </c>
      <c r="F7" s="12">
        <f t="shared" si="2"/>
        <v>0.24653739612188366</v>
      </c>
      <c r="G7" s="8">
        <v>6</v>
      </c>
      <c r="H7" s="8">
        <v>1</v>
      </c>
      <c r="I7" s="8">
        <v>1</v>
      </c>
    </row>
    <row r="8" spans="1:10" x14ac:dyDescent="0.2">
      <c r="A8" s="7" t="s">
        <v>7</v>
      </c>
      <c r="B8" s="9">
        <f t="shared" si="0"/>
        <v>755</v>
      </c>
      <c r="C8" s="8">
        <v>443</v>
      </c>
      <c r="D8" s="12">
        <f t="shared" si="1"/>
        <v>0.58675496688741724</v>
      </c>
      <c r="E8" s="8">
        <v>311</v>
      </c>
      <c r="F8" s="12">
        <f t="shared" si="2"/>
        <v>0.41192052980132449</v>
      </c>
      <c r="G8" s="8">
        <v>1</v>
      </c>
      <c r="H8" s="8">
        <v>0</v>
      </c>
      <c r="I8" s="8">
        <v>2</v>
      </c>
    </row>
    <row r="9" spans="1:10" x14ac:dyDescent="0.2">
      <c r="A9" s="7" t="s">
        <v>8</v>
      </c>
      <c r="B9" s="9">
        <f t="shared" si="0"/>
        <v>362</v>
      </c>
      <c r="C9" s="8">
        <v>278</v>
      </c>
      <c r="D9" s="12">
        <f t="shared" si="1"/>
        <v>0.76795580110497241</v>
      </c>
      <c r="E9" s="8">
        <v>83</v>
      </c>
      <c r="F9" s="12">
        <f t="shared" si="2"/>
        <v>0.2292817679558011</v>
      </c>
      <c r="G9" s="8">
        <v>1</v>
      </c>
      <c r="H9" s="8">
        <v>0</v>
      </c>
      <c r="I9" s="8">
        <v>2</v>
      </c>
    </row>
    <row r="10" spans="1:10" x14ac:dyDescent="0.2">
      <c r="A10" s="7" t="s">
        <v>9</v>
      </c>
      <c r="B10" s="9">
        <f t="shared" si="0"/>
        <v>656</v>
      </c>
      <c r="C10" s="8">
        <v>377</v>
      </c>
      <c r="D10" s="12">
        <f t="shared" si="1"/>
        <v>0.57469512195121952</v>
      </c>
      <c r="E10" s="8">
        <v>278</v>
      </c>
      <c r="F10" s="12">
        <f t="shared" si="2"/>
        <v>0.42378048780487804</v>
      </c>
      <c r="G10" s="8">
        <v>1</v>
      </c>
      <c r="H10" s="8">
        <v>0</v>
      </c>
      <c r="I10" s="8">
        <v>3</v>
      </c>
    </row>
    <row r="11" spans="1:10" x14ac:dyDescent="0.2">
      <c r="A11" s="7" t="s">
        <v>10</v>
      </c>
      <c r="B11" s="9">
        <f t="shared" si="0"/>
        <v>390</v>
      </c>
      <c r="C11" s="8">
        <v>213</v>
      </c>
      <c r="D11" s="12">
        <f t="shared" si="1"/>
        <v>0.5461538461538461</v>
      </c>
      <c r="E11" s="8">
        <v>176</v>
      </c>
      <c r="F11" s="12">
        <f t="shared" si="2"/>
        <v>0.45128205128205129</v>
      </c>
      <c r="G11" s="8">
        <v>1</v>
      </c>
      <c r="H11" s="8">
        <v>1</v>
      </c>
      <c r="I11" s="8">
        <v>0</v>
      </c>
    </row>
    <row r="12" spans="1:10" x14ac:dyDescent="0.2">
      <c r="A12" s="7" t="s">
        <v>11</v>
      </c>
      <c r="B12" s="9">
        <f t="shared" si="0"/>
        <v>432</v>
      </c>
      <c r="C12" s="8">
        <v>264</v>
      </c>
      <c r="D12" s="12">
        <f t="shared" si="1"/>
        <v>0.61111111111111116</v>
      </c>
      <c r="E12" s="8">
        <v>167</v>
      </c>
      <c r="F12" s="12">
        <f t="shared" si="2"/>
        <v>0.38657407407407407</v>
      </c>
      <c r="G12" s="8">
        <v>1</v>
      </c>
      <c r="H12" s="8">
        <v>0</v>
      </c>
      <c r="I12" s="8">
        <v>1</v>
      </c>
    </row>
    <row r="13" spans="1:10" x14ac:dyDescent="0.2">
      <c r="A13" s="7" t="s">
        <v>12</v>
      </c>
      <c r="B13" s="9">
        <f t="shared" si="0"/>
        <v>447</v>
      </c>
      <c r="C13" s="8">
        <v>267</v>
      </c>
      <c r="D13" s="12">
        <f t="shared" si="1"/>
        <v>0.59731543624161076</v>
      </c>
      <c r="E13" s="8">
        <v>180</v>
      </c>
      <c r="F13" s="12">
        <f t="shared" si="2"/>
        <v>0.40268456375838924</v>
      </c>
      <c r="G13" s="8">
        <v>0</v>
      </c>
      <c r="H13" s="8">
        <v>0</v>
      </c>
      <c r="I13" s="8">
        <v>1</v>
      </c>
    </row>
    <row r="14" spans="1:10" x14ac:dyDescent="0.2">
      <c r="A14" s="7" t="s">
        <v>13</v>
      </c>
      <c r="B14" s="9">
        <f t="shared" si="0"/>
        <v>547</v>
      </c>
      <c r="C14" s="8">
        <v>441</v>
      </c>
      <c r="D14" s="12">
        <f t="shared" si="1"/>
        <v>0.80621572212065817</v>
      </c>
      <c r="E14" s="8">
        <v>104</v>
      </c>
      <c r="F14" s="12">
        <f t="shared" si="2"/>
        <v>0.19012797074954296</v>
      </c>
      <c r="G14" s="8">
        <v>2</v>
      </c>
      <c r="H14" s="8">
        <v>0</v>
      </c>
      <c r="I14" s="8">
        <v>0</v>
      </c>
    </row>
    <row r="15" spans="1:10" x14ac:dyDescent="0.2">
      <c r="A15" s="7" t="s">
        <v>14</v>
      </c>
      <c r="B15" s="9">
        <f t="shared" si="0"/>
        <v>466</v>
      </c>
      <c r="C15" s="8">
        <v>313</v>
      </c>
      <c r="D15" s="12">
        <f t="shared" si="1"/>
        <v>0.6716738197424893</v>
      </c>
      <c r="E15" s="8">
        <v>151</v>
      </c>
      <c r="F15" s="12">
        <f t="shared" si="2"/>
        <v>0.32403433476394849</v>
      </c>
      <c r="G15" s="8">
        <v>2</v>
      </c>
      <c r="H15" s="8">
        <v>0</v>
      </c>
      <c r="I15" s="8">
        <v>2</v>
      </c>
    </row>
    <row r="16" spans="1:10" x14ac:dyDescent="0.2">
      <c r="A16" s="7" t="s">
        <v>15</v>
      </c>
      <c r="B16" s="9">
        <f t="shared" si="0"/>
        <v>438</v>
      </c>
      <c r="C16" s="8">
        <v>296</v>
      </c>
      <c r="D16" s="12">
        <f t="shared" si="1"/>
        <v>0.67579908675799083</v>
      </c>
      <c r="E16" s="8">
        <v>140</v>
      </c>
      <c r="F16" s="12">
        <f t="shared" si="2"/>
        <v>0.31963470319634701</v>
      </c>
      <c r="G16" s="8">
        <v>2</v>
      </c>
      <c r="H16" s="8">
        <v>1</v>
      </c>
      <c r="I16" s="8">
        <v>0</v>
      </c>
    </row>
    <row r="17" spans="1:9" x14ac:dyDescent="0.2">
      <c r="A17" s="7" t="s">
        <v>16</v>
      </c>
      <c r="B17" s="9">
        <f t="shared" si="0"/>
        <v>533</v>
      </c>
      <c r="C17" s="8">
        <v>312</v>
      </c>
      <c r="D17" s="12">
        <f t="shared" si="1"/>
        <v>0.58536585365853655</v>
      </c>
      <c r="E17" s="8">
        <v>219</v>
      </c>
      <c r="F17" s="12">
        <f t="shared" si="2"/>
        <v>0.41088180112570355</v>
      </c>
      <c r="G17" s="8">
        <v>2</v>
      </c>
      <c r="H17" s="8">
        <v>0</v>
      </c>
      <c r="I17" s="8">
        <v>2</v>
      </c>
    </row>
    <row r="18" spans="1:9" x14ac:dyDescent="0.2">
      <c r="A18" s="7" t="s">
        <v>17</v>
      </c>
      <c r="B18" s="9">
        <f t="shared" si="0"/>
        <v>554</v>
      </c>
      <c r="C18" s="8">
        <v>348</v>
      </c>
      <c r="D18" s="12">
        <f t="shared" si="1"/>
        <v>0.62815884476534301</v>
      </c>
      <c r="E18" s="8">
        <v>205</v>
      </c>
      <c r="F18" s="12">
        <f t="shared" si="2"/>
        <v>0.37003610108303248</v>
      </c>
      <c r="G18" s="8">
        <v>1</v>
      </c>
      <c r="H18" s="8">
        <v>0</v>
      </c>
      <c r="I18" s="8">
        <v>0</v>
      </c>
    </row>
    <row r="19" spans="1:9" x14ac:dyDescent="0.2">
      <c r="A19" s="7" t="s">
        <v>18</v>
      </c>
      <c r="B19" s="9">
        <f t="shared" si="0"/>
        <v>751</v>
      </c>
      <c r="C19" s="8">
        <v>345</v>
      </c>
      <c r="D19" s="12">
        <f t="shared" si="1"/>
        <v>0.45938748335552598</v>
      </c>
      <c r="E19" s="8">
        <v>404</v>
      </c>
      <c r="F19" s="12">
        <f t="shared" si="2"/>
        <v>0.53794940079893472</v>
      </c>
      <c r="G19" s="8">
        <v>2</v>
      </c>
      <c r="H19" s="8">
        <v>1</v>
      </c>
      <c r="I19" s="8">
        <v>5</v>
      </c>
    </row>
    <row r="20" spans="1:9" x14ac:dyDescent="0.2">
      <c r="A20" s="7" t="s">
        <v>19</v>
      </c>
      <c r="B20" s="9">
        <f t="shared" si="0"/>
        <v>781</v>
      </c>
      <c r="C20" s="8">
        <v>593</v>
      </c>
      <c r="D20" s="12">
        <f t="shared" si="1"/>
        <v>0.75928297055057614</v>
      </c>
      <c r="E20" s="8">
        <v>188</v>
      </c>
      <c r="F20" s="12">
        <f t="shared" si="2"/>
        <v>0.2407170294494238</v>
      </c>
      <c r="G20" s="8">
        <v>0</v>
      </c>
      <c r="H20" s="8">
        <v>0</v>
      </c>
      <c r="I20" s="8">
        <v>2</v>
      </c>
    </row>
    <row r="21" spans="1:9" x14ac:dyDescent="0.2">
      <c r="A21" s="7" t="s">
        <v>20</v>
      </c>
      <c r="B21" s="9">
        <f t="shared" si="0"/>
        <v>627</v>
      </c>
      <c r="C21" s="8">
        <v>491</v>
      </c>
      <c r="D21" s="12">
        <f t="shared" si="1"/>
        <v>0.78309409888357262</v>
      </c>
      <c r="E21" s="8">
        <v>135</v>
      </c>
      <c r="F21" s="12">
        <f t="shared" si="2"/>
        <v>0.21531100478468901</v>
      </c>
      <c r="G21" s="8">
        <v>1</v>
      </c>
      <c r="H21" s="8">
        <v>1</v>
      </c>
      <c r="I21" s="8">
        <v>0</v>
      </c>
    </row>
    <row r="22" spans="1:9" x14ac:dyDescent="0.2">
      <c r="A22" s="7" t="s">
        <v>21</v>
      </c>
      <c r="B22" s="9">
        <f t="shared" si="0"/>
        <v>699</v>
      </c>
      <c r="C22" s="8">
        <v>500</v>
      </c>
      <c r="D22" s="12">
        <f t="shared" si="1"/>
        <v>0.71530758226037194</v>
      </c>
      <c r="E22" s="8">
        <v>199</v>
      </c>
      <c r="F22" s="12">
        <f t="shared" si="2"/>
        <v>0.28469241773962806</v>
      </c>
      <c r="G22" s="8">
        <v>0</v>
      </c>
      <c r="H22" s="8">
        <v>1</v>
      </c>
      <c r="I22" s="8">
        <v>2</v>
      </c>
    </row>
    <row r="23" spans="1:9" x14ac:dyDescent="0.2">
      <c r="A23" s="7" t="s">
        <v>22</v>
      </c>
      <c r="B23" s="9">
        <f t="shared" si="0"/>
        <v>473</v>
      </c>
      <c r="C23" s="8">
        <v>354</v>
      </c>
      <c r="D23" s="12">
        <f t="shared" si="1"/>
        <v>0.7484143763213531</v>
      </c>
      <c r="E23" s="8">
        <v>115</v>
      </c>
      <c r="F23" s="12">
        <f t="shared" si="2"/>
        <v>0.24312896405919662</v>
      </c>
      <c r="G23" s="8">
        <v>4</v>
      </c>
      <c r="H23" s="8">
        <v>1</v>
      </c>
      <c r="I23" s="8">
        <v>0</v>
      </c>
    </row>
    <row r="24" spans="1:9" x14ac:dyDescent="0.2">
      <c r="A24" s="7" t="s">
        <v>23</v>
      </c>
      <c r="B24" s="9">
        <f t="shared" si="0"/>
        <v>610</v>
      </c>
      <c r="C24" s="8">
        <v>382</v>
      </c>
      <c r="D24" s="12">
        <f t="shared" si="1"/>
        <v>0.6262295081967213</v>
      </c>
      <c r="E24" s="8">
        <v>225</v>
      </c>
      <c r="F24" s="12">
        <f t="shared" si="2"/>
        <v>0.36885245901639346</v>
      </c>
      <c r="G24" s="8">
        <v>3</v>
      </c>
      <c r="H24" s="8">
        <v>1</v>
      </c>
      <c r="I24" s="8">
        <v>0</v>
      </c>
    </row>
    <row r="25" spans="1:9" x14ac:dyDescent="0.2">
      <c r="A25" s="7" t="s">
        <v>24</v>
      </c>
      <c r="B25" s="9">
        <f t="shared" si="0"/>
        <v>419</v>
      </c>
      <c r="C25" s="8">
        <v>246</v>
      </c>
      <c r="D25" s="12">
        <f t="shared" si="1"/>
        <v>0.58711217183770881</v>
      </c>
      <c r="E25" s="8">
        <v>172</v>
      </c>
      <c r="F25" s="12">
        <f t="shared" si="2"/>
        <v>0.41050119331742241</v>
      </c>
      <c r="G25" s="8">
        <v>1</v>
      </c>
      <c r="H25" s="8">
        <v>2</v>
      </c>
      <c r="I25" s="8">
        <v>4</v>
      </c>
    </row>
    <row r="26" spans="1:9" x14ac:dyDescent="0.2">
      <c r="A26" s="7" t="s">
        <v>25</v>
      </c>
      <c r="B26" s="9">
        <f t="shared" si="0"/>
        <v>537</v>
      </c>
      <c r="C26" s="8">
        <v>346</v>
      </c>
      <c r="D26" s="12">
        <f t="shared" si="1"/>
        <v>0.64432029795158285</v>
      </c>
      <c r="E26" s="8">
        <v>190</v>
      </c>
      <c r="F26" s="12">
        <f t="shared" si="2"/>
        <v>0.3538175046554935</v>
      </c>
      <c r="G26" s="8">
        <v>1</v>
      </c>
      <c r="H26" s="8">
        <v>0</v>
      </c>
      <c r="I26" s="8">
        <v>3</v>
      </c>
    </row>
    <row r="27" spans="1:9" x14ac:dyDescent="0.2">
      <c r="A27" s="7" t="s">
        <v>26</v>
      </c>
      <c r="B27" s="9">
        <f t="shared" si="0"/>
        <v>542</v>
      </c>
      <c r="C27" s="8">
        <v>435</v>
      </c>
      <c r="D27" s="12">
        <f t="shared" si="1"/>
        <v>0.80258302583025831</v>
      </c>
      <c r="E27" s="8">
        <v>106</v>
      </c>
      <c r="F27" s="12">
        <f t="shared" si="2"/>
        <v>0.19557195571955718</v>
      </c>
      <c r="G27" s="8">
        <v>1</v>
      </c>
      <c r="H27" s="8">
        <v>3</v>
      </c>
      <c r="I27" s="8">
        <v>0</v>
      </c>
    </row>
    <row r="28" spans="1:9" x14ac:dyDescent="0.2">
      <c r="A28" s="7" t="s">
        <v>27</v>
      </c>
      <c r="B28" s="9">
        <f t="shared" si="0"/>
        <v>901</v>
      </c>
      <c r="C28" s="8">
        <v>603</v>
      </c>
      <c r="D28" s="12">
        <f t="shared" si="1"/>
        <v>0.66925638179800218</v>
      </c>
      <c r="E28" s="8">
        <v>297</v>
      </c>
      <c r="F28" s="12">
        <f t="shared" si="2"/>
        <v>0.32963374028856823</v>
      </c>
      <c r="G28" s="8">
        <v>1</v>
      </c>
      <c r="H28" s="8">
        <v>2</v>
      </c>
      <c r="I28" s="8">
        <v>1</v>
      </c>
    </row>
    <row r="29" spans="1:9" x14ac:dyDescent="0.2">
      <c r="A29" s="7" t="s">
        <v>28</v>
      </c>
      <c r="B29" s="9">
        <f t="shared" si="0"/>
        <v>913</v>
      </c>
      <c r="C29" s="8">
        <v>544</v>
      </c>
      <c r="D29" s="12">
        <f t="shared" si="1"/>
        <v>0.59583789704271628</v>
      </c>
      <c r="E29" s="8">
        <v>369</v>
      </c>
      <c r="F29" s="12">
        <f t="shared" si="2"/>
        <v>0.40416210295728366</v>
      </c>
      <c r="G29" s="8">
        <v>0</v>
      </c>
      <c r="H29" s="8">
        <v>0</v>
      </c>
      <c r="I29" s="8">
        <v>3</v>
      </c>
    </row>
    <row r="30" spans="1:9" x14ac:dyDescent="0.2">
      <c r="A30" s="7" t="s">
        <v>29</v>
      </c>
      <c r="B30" s="9">
        <f t="shared" si="0"/>
        <v>513</v>
      </c>
      <c r="C30" s="8">
        <v>338</v>
      </c>
      <c r="D30" s="12">
        <f t="shared" si="1"/>
        <v>0.65886939571150094</v>
      </c>
      <c r="E30" s="8">
        <v>172</v>
      </c>
      <c r="F30" s="12">
        <f t="shared" si="2"/>
        <v>0.33528265107212474</v>
      </c>
      <c r="G30" s="8">
        <v>3</v>
      </c>
      <c r="H30" s="8">
        <v>0</v>
      </c>
      <c r="I30" s="8">
        <v>0</v>
      </c>
    </row>
    <row r="31" spans="1:9" x14ac:dyDescent="0.2">
      <c r="A31" s="7" t="s">
        <v>30</v>
      </c>
      <c r="B31" s="9">
        <f t="shared" si="0"/>
        <v>544</v>
      </c>
      <c r="C31" s="8">
        <v>364</v>
      </c>
      <c r="D31" s="12">
        <f t="shared" si="1"/>
        <v>0.66911764705882348</v>
      </c>
      <c r="E31" s="8">
        <v>178</v>
      </c>
      <c r="F31" s="12">
        <f t="shared" si="2"/>
        <v>0.32720588235294118</v>
      </c>
      <c r="G31" s="8">
        <v>2</v>
      </c>
      <c r="H31" s="8">
        <v>0</v>
      </c>
      <c r="I31" s="8">
        <v>1</v>
      </c>
    </row>
    <row r="32" spans="1:9" x14ac:dyDescent="0.2">
      <c r="A32" s="7" t="s">
        <v>31</v>
      </c>
      <c r="B32" s="9">
        <f t="shared" si="0"/>
        <v>416</v>
      </c>
      <c r="C32" s="8">
        <v>322</v>
      </c>
      <c r="D32" s="12">
        <f t="shared" si="1"/>
        <v>0.77403846153846156</v>
      </c>
      <c r="E32" s="8">
        <v>92</v>
      </c>
      <c r="F32" s="12">
        <f t="shared" si="2"/>
        <v>0.22115384615384615</v>
      </c>
      <c r="G32" s="8">
        <v>2</v>
      </c>
      <c r="H32" s="8">
        <v>1</v>
      </c>
      <c r="I32" s="8">
        <v>2</v>
      </c>
    </row>
    <row r="33" spans="1:9" x14ac:dyDescent="0.2">
      <c r="A33" s="7" t="s">
        <v>32</v>
      </c>
      <c r="B33" s="9">
        <f t="shared" si="0"/>
        <v>497</v>
      </c>
      <c r="C33" s="8">
        <v>395</v>
      </c>
      <c r="D33" s="12">
        <f t="shared" si="1"/>
        <v>0.79476861167002011</v>
      </c>
      <c r="E33" s="8">
        <v>102</v>
      </c>
      <c r="F33" s="12">
        <f t="shared" si="2"/>
        <v>0.20523138832997989</v>
      </c>
      <c r="G33" s="8">
        <v>0</v>
      </c>
      <c r="H33" s="8">
        <v>0</v>
      </c>
      <c r="I33" s="8">
        <v>0</v>
      </c>
    </row>
    <row r="34" spans="1:9" x14ac:dyDescent="0.2">
      <c r="A34" s="7" t="s">
        <v>33</v>
      </c>
      <c r="B34" s="9">
        <f t="shared" si="0"/>
        <v>327</v>
      </c>
      <c r="C34" s="8">
        <v>235</v>
      </c>
      <c r="D34" s="12">
        <f t="shared" si="1"/>
        <v>0.71865443425076447</v>
      </c>
      <c r="E34" s="8">
        <v>88</v>
      </c>
      <c r="F34" s="12">
        <f t="shared" si="2"/>
        <v>0.26911314984709478</v>
      </c>
      <c r="G34" s="8">
        <v>4</v>
      </c>
      <c r="H34" s="8">
        <v>0</v>
      </c>
      <c r="I34" s="8">
        <v>0</v>
      </c>
    </row>
    <row r="35" spans="1:9" x14ac:dyDescent="0.2">
      <c r="A35" s="7" t="s">
        <v>34</v>
      </c>
      <c r="B35" s="9">
        <f t="shared" si="0"/>
        <v>392</v>
      </c>
      <c r="C35" s="8">
        <v>318</v>
      </c>
      <c r="D35" s="12">
        <f t="shared" si="1"/>
        <v>0.81122448979591832</v>
      </c>
      <c r="E35" s="8">
        <v>74</v>
      </c>
      <c r="F35" s="12">
        <f t="shared" si="2"/>
        <v>0.18877551020408162</v>
      </c>
      <c r="G35" s="8">
        <v>0</v>
      </c>
      <c r="H35" s="8">
        <v>0</v>
      </c>
      <c r="I35" s="8">
        <v>2</v>
      </c>
    </row>
    <row r="36" spans="1:9" x14ac:dyDescent="0.2">
      <c r="A36" s="7" t="s">
        <v>35</v>
      </c>
      <c r="B36" s="9">
        <f t="shared" si="0"/>
        <v>273</v>
      </c>
      <c r="C36" s="8">
        <v>230</v>
      </c>
      <c r="D36" s="12">
        <f t="shared" si="1"/>
        <v>0.8424908424908425</v>
      </c>
      <c r="E36" s="8">
        <v>39</v>
      </c>
      <c r="F36" s="12">
        <f t="shared" si="2"/>
        <v>0.14285714285714285</v>
      </c>
      <c r="G36" s="8">
        <v>4</v>
      </c>
      <c r="H36" s="8">
        <v>0</v>
      </c>
      <c r="I36" s="8">
        <v>0</v>
      </c>
    </row>
    <row r="37" spans="1:9" x14ac:dyDescent="0.2">
      <c r="A37" s="7" t="s">
        <v>36</v>
      </c>
      <c r="B37" s="9">
        <f t="shared" si="0"/>
        <v>271</v>
      </c>
      <c r="C37" s="8">
        <v>230</v>
      </c>
      <c r="D37" s="12">
        <f t="shared" si="1"/>
        <v>0.8487084870848709</v>
      </c>
      <c r="E37" s="8">
        <v>38</v>
      </c>
      <c r="F37" s="12">
        <f t="shared" si="2"/>
        <v>0.14022140221402213</v>
      </c>
      <c r="G37" s="8">
        <v>3</v>
      </c>
      <c r="H37" s="8">
        <v>0</v>
      </c>
      <c r="I37" s="8">
        <v>0</v>
      </c>
    </row>
    <row r="38" spans="1:9" x14ac:dyDescent="0.2">
      <c r="A38" s="7" t="s">
        <v>37</v>
      </c>
      <c r="B38" s="9">
        <f t="shared" si="0"/>
        <v>305</v>
      </c>
      <c r="C38" s="8">
        <v>269</v>
      </c>
      <c r="D38" s="12">
        <f t="shared" si="1"/>
        <v>0.88196721311475412</v>
      </c>
      <c r="E38" s="8">
        <v>35</v>
      </c>
      <c r="F38" s="12">
        <f t="shared" si="2"/>
        <v>0.11475409836065574</v>
      </c>
      <c r="G38" s="8">
        <v>1</v>
      </c>
      <c r="H38" s="8">
        <v>0</v>
      </c>
      <c r="I38" s="8">
        <v>1</v>
      </c>
    </row>
    <row r="39" spans="1:9" x14ac:dyDescent="0.2">
      <c r="A39" s="7" t="s">
        <v>38</v>
      </c>
      <c r="B39" s="9">
        <f t="shared" si="0"/>
        <v>227</v>
      </c>
      <c r="C39" s="8">
        <v>196</v>
      </c>
      <c r="D39" s="12">
        <f t="shared" si="1"/>
        <v>0.86343612334801767</v>
      </c>
      <c r="E39" s="8">
        <v>30</v>
      </c>
      <c r="F39" s="12">
        <f t="shared" si="2"/>
        <v>0.13215859030837004</v>
      </c>
      <c r="G39" s="8">
        <v>1</v>
      </c>
      <c r="H39" s="8">
        <v>0</v>
      </c>
      <c r="I39" s="8">
        <v>1</v>
      </c>
    </row>
    <row r="40" spans="1:9" x14ac:dyDescent="0.2">
      <c r="A40" s="7" t="s">
        <v>39</v>
      </c>
      <c r="B40" s="9">
        <f t="shared" si="0"/>
        <v>365</v>
      </c>
      <c r="C40" s="8">
        <v>329</v>
      </c>
      <c r="D40" s="12">
        <f t="shared" si="1"/>
        <v>0.90136986301369859</v>
      </c>
      <c r="E40" s="8">
        <v>34</v>
      </c>
      <c r="F40" s="12">
        <f t="shared" si="2"/>
        <v>9.3150684931506855E-2</v>
      </c>
      <c r="G40" s="8">
        <v>2</v>
      </c>
      <c r="H40" s="8">
        <v>1</v>
      </c>
      <c r="I40" s="8">
        <v>1</v>
      </c>
    </row>
    <row r="41" spans="1:9" x14ac:dyDescent="0.2">
      <c r="A41" s="7" t="s">
        <v>40</v>
      </c>
      <c r="B41" s="9">
        <f t="shared" si="0"/>
        <v>570</v>
      </c>
      <c r="C41" s="8">
        <v>484</v>
      </c>
      <c r="D41" s="12">
        <f t="shared" si="1"/>
        <v>0.84912280701754383</v>
      </c>
      <c r="E41" s="8">
        <v>85</v>
      </c>
      <c r="F41" s="12">
        <f t="shared" si="2"/>
        <v>0.14912280701754385</v>
      </c>
      <c r="G41" s="8">
        <v>1</v>
      </c>
      <c r="H41" s="8">
        <v>0</v>
      </c>
      <c r="I41" s="8">
        <v>1</v>
      </c>
    </row>
    <row r="42" spans="1:9" x14ac:dyDescent="0.2">
      <c r="A42" s="7" t="s">
        <v>41</v>
      </c>
      <c r="B42" s="9">
        <f t="shared" si="0"/>
        <v>384</v>
      </c>
      <c r="C42" s="8">
        <v>300</v>
      </c>
      <c r="D42" s="12">
        <f t="shared" si="1"/>
        <v>0.78125</v>
      </c>
      <c r="E42" s="8">
        <v>82</v>
      </c>
      <c r="F42" s="12">
        <f t="shared" si="2"/>
        <v>0.21354166666666666</v>
      </c>
      <c r="G42" s="8">
        <v>2</v>
      </c>
      <c r="H42" s="8">
        <v>0</v>
      </c>
      <c r="I42" s="8">
        <v>1</v>
      </c>
    </row>
    <row r="43" spans="1:9" x14ac:dyDescent="0.2">
      <c r="A43" s="7" t="s">
        <v>42</v>
      </c>
      <c r="B43" s="9">
        <f t="shared" si="0"/>
        <v>282</v>
      </c>
      <c r="C43" s="8">
        <v>268</v>
      </c>
      <c r="D43" s="12">
        <f t="shared" si="1"/>
        <v>0.95035460992907805</v>
      </c>
      <c r="E43" s="8">
        <v>14</v>
      </c>
      <c r="F43" s="12">
        <f t="shared" si="2"/>
        <v>4.9645390070921988E-2</v>
      </c>
      <c r="G43" s="8">
        <v>0</v>
      </c>
      <c r="H43" s="8">
        <v>0</v>
      </c>
      <c r="I43" s="8">
        <v>0</v>
      </c>
    </row>
    <row r="44" spans="1:9" x14ac:dyDescent="0.2">
      <c r="A44" s="7" t="s">
        <v>43</v>
      </c>
      <c r="B44" s="9">
        <f t="shared" si="0"/>
        <v>265</v>
      </c>
      <c r="C44" s="8">
        <v>248</v>
      </c>
      <c r="D44" s="12">
        <f t="shared" si="1"/>
        <v>0.9358490566037736</v>
      </c>
      <c r="E44" s="8">
        <v>17</v>
      </c>
      <c r="F44" s="12">
        <f t="shared" si="2"/>
        <v>6.4150943396226415E-2</v>
      </c>
      <c r="G44" s="8">
        <v>0</v>
      </c>
      <c r="H44" s="8">
        <v>0</v>
      </c>
      <c r="I44" s="8">
        <v>0</v>
      </c>
    </row>
    <row r="45" spans="1:9" x14ac:dyDescent="0.2">
      <c r="A45" s="7" t="s">
        <v>44</v>
      </c>
      <c r="B45" s="9">
        <f t="shared" si="0"/>
        <v>306</v>
      </c>
      <c r="C45" s="8">
        <v>276</v>
      </c>
      <c r="D45" s="12">
        <f t="shared" si="1"/>
        <v>0.90196078431372551</v>
      </c>
      <c r="E45" s="8">
        <v>29</v>
      </c>
      <c r="F45" s="12">
        <f t="shared" si="2"/>
        <v>9.4771241830065356E-2</v>
      </c>
      <c r="G45" s="8">
        <v>1</v>
      </c>
      <c r="H45" s="8">
        <v>0</v>
      </c>
      <c r="I45" s="8">
        <v>1</v>
      </c>
    </row>
    <row r="46" spans="1:9" x14ac:dyDescent="0.2">
      <c r="A46" s="7" t="s">
        <v>45</v>
      </c>
      <c r="B46" s="9">
        <f t="shared" si="0"/>
        <v>345</v>
      </c>
      <c r="C46" s="8">
        <v>283</v>
      </c>
      <c r="D46" s="12">
        <f t="shared" si="1"/>
        <v>0.82028985507246377</v>
      </c>
      <c r="E46" s="8">
        <v>59</v>
      </c>
      <c r="F46" s="12">
        <f t="shared" si="2"/>
        <v>0.17101449275362318</v>
      </c>
      <c r="G46" s="8">
        <v>3</v>
      </c>
      <c r="H46" s="8">
        <v>1</v>
      </c>
      <c r="I46" s="8">
        <v>1</v>
      </c>
    </row>
    <row r="47" spans="1:9" x14ac:dyDescent="0.2">
      <c r="A47" s="7" t="s">
        <v>46</v>
      </c>
      <c r="B47" s="9">
        <f t="shared" si="0"/>
        <v>275</v>
      </c>
      <c r="C47" s="8">
        <v>248</v>
      </c>
      <c r="D47" s="12">
        <f t="shared" si="1"/>
        <v>0.90181818181818185</v>
      </c>
      <c r="E47" s="8">
        <v>27</v>
      </c>
      <c r="F47" s="12">
        <f t="shared" si="2"/>
        <v>9.8181818181818176E-2</v>
      </c>
      <c r="G47" s="8">
        <v>0</v>
      </c>
      <c r="H47" s="8">
        <v>1</v>
      </c>
      <c r="I47" s="8">
        <v>3</v>
      </c>
    </row>
    <row r="48" spans="1:9" x14ac:dyDescent="0.2">
      <c r="A48" s="7" t="s">
        <v>47</v>
      </c>
      <c r="B48" s="9">
        <f t="shared" si="0"/>
        <v>635</v>
      </c>
      <c r="C48" s="8">
        <v>506</v>
      </c>
      <c r="D48" s="12">
        <f t="shared" si="1"/>
        <v>0.79685039370078736</v>
      </c>
      <c r="E48" s="8">
        <v>128</v>
      </c>
      <c r="F48" s="12">
        <f t="shared" si="2"/>
        <v>0.2015748031496063</v>
      </c>
      <c r="G48" s="8">
        <v>1</v>
      </c>
      <c r="H48" s="8">
        <v>0</v>
      </c>
      <c r="I48" s="8">
        <v>4</v>
      </c>
    </row>
    <row r="49" spans="1:9" x14ac:dyDescent="0.2">
      <c r="A49" s="7" t="s">
        <v>48</v>
      </c>
      <c r="B49" s="9">
        <f t="shared" si="0"/>
        <v>315</v>
      </c>
      <c r="C49" s="8">
        <v>281</v>
      </c>
      <c r="D49" s="12">
        <f t="shared" si="1"/>
        <v>0.89206349206349211</v>
      </c>
      <c r="E49" s="8">
        <v>34</v>
      </c>
      <c r="F49" s="12">
        <f t="shared" si="2"/>
        <v>0.10793650793650794</v>
      </c>
      <c r="G49" s="8">
        <v>0</v>
      </c>
      <c r="H49" s="8">
        <v>0</v>
      </c>
      <c r="I49" s="8">
        <v>0</v>
      </c>
    </row>
    <row r="50" spans="1:9" x14ac:dyDescent="0.2">
      <c r="A50" s="7" t="s">
        <v>49</v>
      </c>
      <c r="B50" s="9">
        <f t="shared" si="0"/>
        <v>353</v>
      </c>
      <c r="C50" s="8">
        <v>323</v>
      </c>
      <c r="D50" s="12">
        <f t="shared" si="1"/>
        <v>0.91501416430594906</v>
      </c>
      <c r="E50" s="8">
        <v>29</v>
      </c>
      <c r="F50" s="12">
        <f t="shared" si="2"/>
        <v>8.2152974504249299E-2</v>
      </c>
      <c r="G50" s="8">
        <v>1</v>
      </c>
      <c r="H50" s="8">
        <v>1</v>
      </c>
      <c r="I50" s="8">
        <v>3</v>
      </c>
    </row>
    <row r="51" spans="1:9" x14ac:dyDescent="0.2">
      <c r="A51" s="7" t="s">
        <v>50</v>
      </c>
      <c r="B51" s="9">
        <f t="shared" si="0"/>
        <v>352</v>
      </c>
      <c r="C51" s="8">
        <v>283</v>
      </c>
      <c r="D51" s="12">
        <f t="shared" si="1"/>
        <v>0.80397727272727271</v>
      </c>
      <c r="E51" s="8">
        <v>66</v>
      </c>
      <c r="F51" s="12">
        <f t="shared" si="2"/>
        <v>0.1875</v>
      </c>
      <c r="G51" s="8">
        <v>3</v>
      </c>
      <c r="H51" s="8">
        <v>0</v>
      </c>
      <c r="I51" s="8">
        <v>0</v>
      </c>
    </row>
    <row r="52" spans="1:9" x14ac:dyDescent="0.2">
      <c r="A52" s="7" t="s">
        <v>51</v>
      </c>
      <c r="B52" s="9">
        <f t="shared" si="0"/>
        <v>387</v>
      </c>
      <c r="C52" s="8">
        <v>366</v>
      </c>
      <c r="D52" s="12">
        <f t="shared" si="1"/>
        <v>0.94573643410852715</v>
      </c>
      <c r="E52" s="8">
        <v>21</v>
      </c>
      <c r="F52" s="12">
        <f t="shared" si="2"/>
        <v>5.4263565891472867E-2</v>
      </c>
      <c r="G52" s="8">
        <v>0</v>
      </c>
      <c r="H52" s="8">
        <v>0</v>
      </c>
      <c r="I52" s="8">
        <v>0</v>
      </c>
    </row>
    <row r="53" spans="1:9" x14ac:dyDescent="0.2">
      <c r="A53" s="7" t="s">
        <v>52</v>
      </c>
      <c r="B53" s="9">
        <f t="shared" si="0"/>
        <v>446</v>
      </c>
      <c r="C53" s="8">
        <v>360</v>
      </c>
      <c r="D53" s="12">
        <f t="shared" si="1"/>
        <v>0.80717488789237668</v>
      </c>
      <c r="E53" s="8">
        <v>84</v>
      </c>
      <c r="F53" s="12">
        <f t="shared" si="2"/>
        <v>0.18834080717488788</v>
      </c>
      <c r="G53" s="8">
        <v>2</v>
      </c>
      <c r="H53" s="8">
        <v>0</v>
      </c>
      <c r="I53" s="8">
        <v>0</v>
      </c>
    </row>
    <row r="54" spans="1:9" x14ac:dyDescent="0.2">
      <c r="A54" s="7" t="s">
        <v>53</v>
      </c>
      <c r="B54" s="9">
        <f t="shared" si="0"/>
        <v>607</v>
      </c>
      <c r="C54" s="8">
        <v>382</v>
      </c>
      <c r="D54" s="12">
        <f t="shared" si="1"/>
        <v>0.62932454695222406</v>
      </c>
      <c r="E54" s="8">
        <v>223</v>
      </c>
      <c r="F54" s="12">
        <f t="shared" si="2"/>
        <v>0.36738056013179571</v>
      </c>
      <c r="G54" s="8">
        <v>2</v>
      </c>
      <c r="H54" s="8">
        <v>0</v>
      </c>
      <c r="I54" s="8">
        <v>0</v>
      </c>
    </row>
    <row r="55" spans="1:9" x14ac:dyDescent="0.2">
      <c r="A55" s="7" t="s">
        <v>54</v>
      </c>
      <c r="B55" s="9">
        <f t="shared" si="0"/>
        <v>432</v>
      </c>
      <c r="C55" s="8">
        <v>347</v>
      </c>
      <c r="D55" s="12">
        <f t="shared" si="1"/>
        <v>0.8032407407407407</v>
      </c>
      <c r="E55" s="8">
        <v>82</v>
      </c>
      <c r="F55" s="12">
        <f t="shared" si="2"/>
        <v>0.18981481481481483</v>
      </c>
      <c r="G55" s="8">
        <v>3</v>
      </c>
      <c r="H55" s="8">
        <v>0</v>
      </c>
      <c r="I55" s="8">
        <v>0</v>
      </c>
    </row>
    <row r="56" spans="1:9" x14ac:dyDescent="0.2">
      <c r="A56" s="7" t="s">
        <v>55</v>
      </c>
      <c r="B56" s="9">
        <f t="shared" si="0"/>
        <v>572</v>
      </c>
      <c r="C56" s="8">
        <v>459</v>
      </c>
      <c r="D56" s="12">
        <f t="shared" si="1"/>
        <v>0.80244755244755239</v>
      </c>
      <c r="E56" s="8">
        <v>111</v>
      </c>
      <c r="F56" s="12">
        <f t="shared" si="2"/>
        <v>0.19405594405594406</v>
      </c>
      <c r="G56" s="8">
        <v>2</v>
      </c>
      <c r="H56" s="8">
        <v>0</v>
      </c>
      <c r="I56" s="8">
        <v>2</v>
      </c>
    </row>
    <row r="57" spans="1:9" x14ac:dyDescent="0.2">
      <c r="A57" s="7" t="s">
        <v>56</v>
      </c>
      <c r="B57" s="9">
        <f t="shared" si="0"/>
        <v>369</v>
      </c>
      <c r="C57" s="8">
        <v>285</v>
      </c>
      <c r="D57" s="12">
        <f t="shared" si="1"/>
        <v>0.77235772357723576</v>
      </c>
      <c r="E57" s="8">
        <v>82</v>
      </c>
      <c r="F57" s="12">
        <f t="shared" si="2"/>
        <v>0.22222222222222221</v>
      </c>
      <c r="G57" s="8">
        <v>2</v>
      </c>
      <c r="H57" s="8">
        <v>0</v>
      </c>
      <c r="I57" s="8">
        <v>0</v>
      </c>
    </row>
    <row r="58" spans="1:9" x14ac:dyDescent="0.2">
      <c r="A58" s="7" t="s">
        <v>57</v>
      </c>
      <c r="B58" s="9">
        <f t="shared" si="0"/>
        <v>440</v>
      </c>
      <c r="C58" s="8">
        <v>309</v>
      </c>
      <c r="D58" s="12">
        <f t="shared" si="1"/>
        <v>0.70227272727272727</v>
      </c>
      <c r="E58" s="8">
        <v>130</v>
      </c>
      <c r="F58" s="12">
        <f t="shared" si="2"/>
        <v>0.29545454545454547</v>
      </c>
      <c r="G58" s="8">
        <v>1</v>
      </c>
      <c r="H58" s="8">
        <v>0</v>
      </c>
      <c r="I58" s="8">
        <v>0</v>
      </c>
    </row>
    <row r="59" spans="1:9" x14ac:dyDescent="0.2">
      <c r="A59" s="7" t="s">
        <v>58</v>
      </c>
      <c r="B59" s="9">
        <f t="shared" si="0"/>
        <v>464</v>
      </c>
      <c r="C59" s="8">
        <v>362</v>
      </c>
      <c r="D59" s="12">
        <f t="shared" si="1"/>
        <v>0.78017241379310343</v>
      </c>
      <c r="E59" s="8">
        <v>101</v>
      </c>
      <c r="F59" s="12">
        <f t="shared" si="2"/>
        <v>0.21767241379310345</v>
      </c>
      <c r="G59" s="8">
        <v>1</v>
      </c>
      <c r="H59" s="8">
        <v>0</v>
      </c>
      <c r="I59" s="8">
        <v>0</v>
      </c>
    </row>
    <row r="60" spans="1:9" x14ac:dyDescent="0.2">
      <c r="A60" s="7" t="s">
        <v>59</v>
      </c>
      <c r="B60" s="9">
        <f t="shared" si="0"/>
        <v>489</v>
      </c>
      <c r="C60" s="8">
        <v>362</v>
      </c>
      <c r="D60" s="12">
        <f t="shared" si="1"/>
        <v>0.74028629856850714</v>
      </c>
      <c r="E60" s="8">
        <v>126</v>
      </c>
      <c r="F60" s="12">
        <f t="shared" si="2"/>
        <v>0.25766871165644173</v>
      </c>
      <c r="G60" s="8">
        <v>1</v>
      </c>
      <c r="H60" s="8">
        <v>1</v>
      </c>
      <c r="I60" s="8">
        <v>0</v>
      </c>
    </row>
    <row r="61" spans="1:9" x14ac:dyDescent="0.2">
      <c r="A61" s="7" t="s">
        <v>60</v>
      </c>
      <c r="B61" s="9">
        <f t="shared" si="0"/>
        <v>823</v>
      </c>
      <c r="C61" s="8">
        <v>547</v>
      </c>
      <c r="D61" s="12">
        <f t="shared" si="1"/>
        <v>0.6646415552855407</v>
      </c>
      <c r="E61" s="8">
        <v>275</v>
      </c>
      <c r="F61" s="12">
        <f t="shared" si="2"/>
        <v>0.33414337788578374</v>
      </c>
      <c r="G61" s="8">
        <v>1</v>
      </c>
      <c r="H61" s="8">
        <v>1</v>
      </c>
      <c r="I61" s="8">
        <v>2</v>
      </c>
    </row>
    <row r="62" spans="1:9" x14ac:dyDescent="0.2">
      <c r="A62" s="7" t="s">
        <v>61</v>
      </c>
      <c r="B62" s="9">
        <f t="shared" si="0"/>
        <v>861</v>
      </c>
      <c r="C62" s="8">
        <v>580</v>
      </c>
      <c r="D62" s="12">
        <f t="shared" si="1"/>
        <v>0.67363530778164926</v>
      </c>
      <c r="E62" s="8">
        <v>279</v>
      </c>
      <c r="F62" s="12">
        <f t="shared" si="2"/>
        <v>0.3240418118466899</v>
      </c>
      <c r="G62" s="8">
        <v>2</v>
      </c>
      <c r="H62" s="8">
        <v>0</v>
      </c>
      <c r="I62" s="8">
        <v>2</v>
      </c>
    </row>
    <row r="63" spans="1:9" x14ac:dyDescent="0.2">
      <c r="A63" s="7" t="s">
        <v>62</v>
      </c>
      <c r="B63" s="9">
        <f t="shared" si="0"/>
        <v>762</v>
      </c>
      <c r="C63" s="8">
        <v>495</v>
      </c>
      <c r="D63" s="12">
        <f t="shared" si="1"/>
        <v>0.64960629921259838</v>
      </c>
      <c r="E63" s="8">
        <v>267</v>
      </c>
      <c r="F63" s="12">
        <f t="shared" si="2"/>
        <v>0.35039370078740156</v>
      </c>
      <c r="G63" s="8">
        <v>0</v>
      </c>
      <c r="H63" s="8">
        <v>3</v>
      </c>
      <c r="I63" s="8">
        <v>3</v>
      </c>
    </row>
    <row r="64" spans="1:9" x14ac:dyDescent="0.2">
      <c r="A64" s="7" t="s">
        <v>63</v>
      </c>
      <c r="B64" s="9">
        <f t="shared" si="0"/>
        <v>536</v>
      </c>
      <c r="C64" s="8">
        <v>360</v>
      </c>
      <c r="D64" s="12">
        <f t="shared" si="1"/>
        <v>0.67164179104477617</v>
      </c>
      <c r="E64" s="8">
        <v>173</v>
      </c>
      <c r="F64" s="12">
        <f t="shared" si="2"/>
        <v>0.32276119402985076</v>
      </c>
      <c r="G64" s="8">
        <v>3</v>
      </c>
      <c r="H64" s="8">
        <v>2</v>
      </c>
      <c r="I64" s="8">
        <v>0</v>
      </c>
    </row>
    <row r="65" spans="1:9" x14ac:dyDescent="0.2">
      <c r="A65" s="7" t="s">
        <v>64</v>
      </c>
      <c r="B65" s="9">
        <f t="shared" si="0"/>
        <v>201</v>
      </c>
      <c r="C65" s="8">
        <v>155</v>
      </c>
      <c r="D65" s="12">
        <f t="shared" si="1"/>
        <v>0.77114427860696522</v>
      </c>
      <c r="E65" s="8">
        <v>44</v>
      </c>
      <c r="F65" s="12">
        <f t="shared" si="2"/>
        <v>0.21890547263681592</v>
      </c>
      <c r="G65" s="8">
        <v>2</v>
      </c>
      <c r="H65" s="8">
        <v>0</v>
      </c>
      <c r="I65" s="8">
        <v>0</v>
      </c>
    </row>
    <row r="66" spans="1:9" x14ac:dyDescent="0.2">
      <c r="A66" s="7" t="s">
        <v>65</v>
      </c>
      <c r="B66" s="9">
        <f t="shared" si="0"/>
        <v>196</v>
      </c>
      <c r="C66" s="8">
        <v>133</v>
      </c>
      <c r="D66" s="12">
        <f t="shared" si="1"/>
        <v>0.6785714285714286</v>
      </c>
      <c r="E66" s="8">
        <v>62</v>
      </c>
      <c r="F66" s="12">
        <f t="shared" si="2"/>
        <v>0.31632653061224492</v>
      </c>
      <c r="G66" s="8">
        <v>1</v>
      </c>
      <c r="H66" s="8">
        <v>0</v>
      </c>
      <c r="I66" s="8">
        <v>0</v>
      </c>
    </row>
    <row r="67" spans="1:9" x14ac:dyDescent="0.2">
      <c r="A67" s="7" t="s">
        <v>66</v>
      </c>
      <c r="B67" s="9">
        <f t="shared" si="0"/>
        <v>568</v>
      </c>
      <c r="C67" s="8">
        <v>397</v>
      </c>
      <c r="D67" s="12">
        <f t="shared" si="1"/>
        <v>0.698943661971831</v>
      </c>
      <c r="E67" s="8">
        <v>170</v>
      </c>
      <c r="F67" s="12">
        <f t="shared" si="2"/>
        <v>0.29929577464788731</v>
      </c>
      <c r="G67" s="8">
        <v>1</v>
      </c>
      <c r="H67" s="8">
        <v>0</v>
      </c>
      <c r="I67" s="8">
        <v>2</v>
      </c>
    </row>
    <row r="68" spans="1:9" x14ac:dyDescent="0.2">
      <c r="A68" s="7" t="s">
        <v>67</v>
      </c>
      <c r="B68" s="9">
        <f t="shared" ref="B68:B131" si="3">SUM(C68,E68,G68)</f>
        <v>548</v>
      </c>
      <c r="C68" s="8">
        <v>356</v>
      </c>
      <c r="D68" s="12">
        <f t="shared" ref="D68:D131" si="4">C68/B68</f>
        <v>0.64963503649635035</v>
      </c>
      <c r="E68" s="8">
        <v>191</v>
      </c>
      <c r="F68" s="12">
        <f t="shared" ref="F68:F131" si="5">E68/B68</f>
        <v>0.34854014598540145</v>
      </c>
      <c r="G68" s="8">
        <v>1</v>
      </c>
      <c r="H68" s="8">
        <v>0</v>
      </c>
      <c r="I68" s="8">
        <v>1</v>
      </c>
    </row>
    <row r="69" spans="1:9" x14ac:dyDescent="0.2">
      <c r="A69" s="7" t="s">
        <v>68</v>
      </c>
      <c r="B69" s="9">
        <f t="shared" si="3"/>
        <v>743</v>
      </c>
      <c r="C69" s="8">
        <v>512</v>
      </c>
      <c r="D69" s="12">
        <f t="shared" si="4"/>
        <v>0.68909825033647376</v>
      </c>
      <c r="E69" s="8">
        <v>227</v>
      </c>
      <c r="F69" s="12">
        <f t="shared" si="5"/>
        <v>0.30551816958277256</v>
      </c>
      <c r="G69" s="8">
        <v>4</v>
      </c>
      <c r="H69" s="8">
        <v>1</v>
      </c>
      <c r="I69" s="8">
        <v>1</v>
      </c>
    </row>
    <row r="70" spans="1:9" x14ac:dyDescent="0.2">
      <c r="A70" s="7" t="s">
        <v>69</v>
      </c>
      <c r="B70" s="9">
        <f t="shared" si="3"/>
        <v>685</v>
      </c>
      <c r="C70" s="8">
        <v>465</v>
      </c>
      <c r="D70" s="12">
        <f t="shared" si="4"/>
        <v>0.67883211678832112</v>
      </c>
      <c r="E70" s="8">
        <v>218</v>
      </c>
      <c r="F70" s="12">
        <f t="shared" si="5"/>
        <v>0.31824817518248177</v>
      </c>
      <c r="G70" s="8">
        <v>2</v>
      </c>
      <c r="H70" s="8">
        <v>0</v>
      </c>
      <c r="I70" s="8">
        <v>3</v>
      </c>
    </row>
    <row r="71" spans="1:9" x14ac:dyDescent="0.2">
      <c r="A71" s="7" t="s">
        <v>70</v>
      </c>
      <c r="B71" s="9">
        <f t="shared" si="3"/>
        <v>542</v>
      </c>
      <c r="C71" s="8">
        <v>327</v>
      </c>
      <c r="D71" s="12">
        <f t="shared" si="4"/>
        <v>0.60332103321033215</v>
      </c>
      <c r="E71" s="8">
        <v>215</v>
      </c>
      <c r="F71" s="12">
        <f t="shared" si="5"/>
        <v>0.39667896678966791</v>
      </c>
      <c r="G71" s="8">
        <v>0</v>
      </c>
      <c r="H71" s="8">
        <v>1</v>
      </c>
      <c r="I71" s="8">
        <v>0</v>
      </c>
    </row>
    <row r="72" spans="1:9" x14ac:dyDescent="0.2">
      <c r="A72" s="7" t="s">
        <v>71</v>
      </c>
      <c r="B72" s="9">
        <f t="shared" si="3"/>
        <v>695</v>
      </c>
      <c r="C72" s="8">
        <v>362</v>
      </c>
      <c r="D72" s="12">
        <f t="shared" si="4"/>
        <v>0.52086330935251801</v>
      </c>
      <c r="E72" s="8">
        <v>332</v>
      </c>
      <c r="F72" s="12">
        <f t="shared" si="5"/>
        <v>0.47769784172661872</v>
      </c>
      <c r="G72" s="8">
        <v>1</v>
      </c>
      <c r="H72" s="8">
        <v>0</v>
      </c>
      <c r="I72" s="8">
        <v>1</v>
      </c>
    </row>
    <row r="73" spans="1:9" x14ac:dyDescent="0.2">
      <c r="A73" s="7" t="s">
        <v>72</v>
      </c>
      <c r="B73" s="9">
        <f t="shared" si="3"/>
        <v>609</v>
      </c>
      <c r="C73" s="8">
        <v>428</v>
      </c>
      <c r="D73" s="12">
        <f t="shared" si="4"/>
        <v>0.7027914614121511</v>
      </c>
      <c r="E73" s="8">
        <v>178</v>
      </c>
      <c r="F73" s="12">
        <f t="shared" si="5"/>
        <v>0.29228243021346467</v>
      </c>
      <c r="G73" s="8">
        <v>3</v>
      </c>
      <c r="H73" s="8">
        <v>2</v>
      </c>
      <c r="I73" s="8">
        <v>1</v>
      </c>
    </row>
    <row r="74" spans="1:9" x14ac:dyDescent="0.2">
      <c r="A74" s="7" t="s">
        <v>73</v>
      </c>
      <c r="B74" s="9">
        <f t="shared" si="3"/>
        <v>590</v>
      </c>
      <c r="C74" s="8">
        <v>366</v>
      </c>
      <c r="D74" s="12">
        <f t="shared" si="4"/>
        <v>0.62033898305084745</v>
      </c>
      <c r="E74" s="8">
        <v>223</v>
      </c>
      <c r="F74" s="12">
        <f t="shared" si="5"/>
        <v>0.37796610169491524</v>
      </c>
      <c r="G74" s="8">
        <v>1</v>
      </c>
      <c r="H74" s="8">
        <v>1</v>
      </c>
      <c r="I74" s="8">
        <v>0</v>
      </c>
    </row>
    <row r="75" spans="1:9" x14ac:dyDescent="0.2">
      <c r="A75" s="7" t="s">
        <v>74</v>
      </c>
      <c r="B75" s="9">
        <f t="shared" si="3"/>
        <v>523</v>
      </c>
      <c r="C75" s="8">
        <v>351</v>
      </c>
      <c r="D75" s="12">
        <f t="shared" si="4"/>
        <v>0.67112810707456982</v>
      </c>
      <c r="E75" s="8">
        <v>171</v>
      </c>
      <c r="F75" s="12">
        <f t="shared" si="5"/>
        <v>0.32695984703632885</v>
      </c>
      <c r="G75" s="8">
        <v>1</v>
      </c>
      <c r="H75" s="8">
        <v>1</v>
      </c>
      <c r="I75" s="8">
        <v>2</v>
      </c>
    </row>
    <row r="76" spans="1:9" x14ac:dyDescent="0.2">
      <c r="A76" s="7" t="s">
        <v>75</v>
      </c>
      <c r="B76" s="9">
        <f t="shared" si="3"/>
        <v>554</v>
      </c>
      <c r="C76" s="8">
        <v>329</v>
      </c>
      <c r="D76" s="12">
        <f t="shared" si="4"/>
        <v>0.59386281588447654</v>
      </c>
      <c r="E76" s="8">
        <v>223</v>
      </c>
      <c r="F76" s="12">
        <f t="shared" si="5"/>
        <v>0.40252707581227437</v>
      </c>
      <c r="G76" s="8">
        <v>2</v>
      </c>
      <c r="H76" s="8">
        <v>0</v>
      </c>
      <c r="I76" s="8">
        <v>3</v>
      </c>
    </row>
    <row r="77" spans="1:9" x14ac:dyDescent="0.2">
      <c r="A77" s="7" t="s">
        <v>76</v>
      </c>
      <c r="B77" s="9">
        <f t="shared" si="3"/>
        <v>668</v>
      </c>
      <c r="C77" s="8">
        <v>376</v>
      </c>
      <c r="D77" s="12">
        <f t="shared" si="4"/>
        <v>0.56287425149700598</v>
      </c>
      <c r="E77" s="8">
        <v>292</v>
      </c>
      <c r="F77" s="12">
        <f t="shared" si="5"/>
        <v>0.43712574850299402</v>
      </c>
      <c r="G77" s="8">
        <v>0</v>
      </c>
      <c r="H77" s="8">
        <v>0</v>
      </c>
      <c r="I77" s="8">
        <v>0</v>
      </c>
    </row>
    <row r="78" spans="1:9" x14ac:dyDescent="0.2">
      <c r="A78" s="7" t="s">
        <v>77</v>
      </c>
      <c r="B78" s="9">
        <f t="shared" si="3"/>
        <v>359</v>
      </c>
      <c r="C78" s="8">
        <v>215</v>
      </c>
      <c r="D78" s="12">
        <f t="shared" si="4"/>
        <v>0.59888579387186625</v>
      </c>
      <c r="E78" s="8">
        <v>142</v>
      </c>
      <c r="F78" s="12">
        <f t="shared" si="5"/>
        <v>0.3955431754874652</v>
      </c>
      <c r="G78" s="8">
        <v>2</v>
      </c>
      <c r="H78" s="8">
        <v>0</v>
      </c>
      <c r="I78" s="8">
        <v>1</v>
      </c>
    </row>
    <row r="79" spans="1:9" x14ac:dyDescent="0.2">
      <c r="A79" s="7" t="s">
        <v>78</v>
      </c>
      <c r="B79" s="9">
        <f t="shared" si="3"/>
        <v>152</v>
      </c>
      <c r="C79" s="8">
        <v>87</v>
      </c>
      <c r="D79" s="12">
        <f t="shared" si="4"/>
        <v>0.57236842105263153</v>
      </c>
      <c r="E79" s="8">
        <v>65</v>
      </c>
      <c r="F79" s="12">
        <f t="shared" si="5"/>
        <v>0.42763157894736842</v>
      </c>
      <c r="G79" s="8">
        <v>0</v>
      </c>
      <c r="H79" s="8">
        <v>0</v>
      </c>
      <c r="I79" s="8">
        <v>0</v>
      </c>
    </row>
    <row r="80" spans="1:9" x14ac:dyDescent="0.2">
      <c r="A80" s="7" t="s">
        <v>79</v>
      </c>
      <c r="B80" s="9">
        <f t="shared" si="3"/>
        <v>277</v>
      </c>
      <c r="C80" s="8">
        <v>185</v>
      </c>
      <c r="D80" s="12">
        <f t="shared" si="4"/>
        <v>0.66787003610108309</v>
      </c>
      <c r="E80" s="8">
        <v>92</v>
      </c>
      <c r="F80" s="12">
        <f t="shared" si="5"/>
        <v>0.33212996389891697</v>
      </c>
      <c r="G80" s="8">
        <v>0</v>
      </c>
      <c r="H80" s="8">
        <v>0</v>
      </c>
      <c r="I80" s="8">
        <v>0</v>
      </c>
    </row>
    <row r="81" spans="1:9" x14ac:dyDescent="0.2">
      <c r="A81" s="7" t="s">
        <v>80</v>
      </c>
      <c r="B81" s="9">
        <f t="shared" si="3"/>
        <v>219</v>
      </c>
      <c r="C81" s="8">
        <v>161</v>
      </c>
      <c r="D81" s="12">
        <f t="shared" si="4"/>
        <v>0.73515981735159819</v>
      </c>
      <c r="E81" s="8">
        <v>58</v>
      </c>
      <c r="F81" s="12">
        <f t="shared" si="5"/>
        <v>0.26484018264840181</v>
      </c>
      <c r="G81" s="8">
        <v>0</v>
      </c>
      <c r="H81" s="8">
        <v>1</v>
      </c>
      <c r="I81" s="8">
        <v>1</v>
      </c>
    </row>
    <row r="82" spans="1:9" x14ac:dyDescent="0.2">
      <c r="A82" s="7" t="s">
        <v>81</v>
      </c>
      <c r="B82" s="9">
        <f t="shared" si="3"/>
        <v>662</v>
      </c>
      <c r="C82" s="8">
        <v>470</v>
      </c>
      <c r="D82" s="12">
        <f t="shared" si="4"/>
        <v>0.70996978851963743</v>
      </c>
      <c r="E82" s="8">
        <v>189</v>
      </c>
      <c r="F82" s="12">
        <f t="shared" si="5"/>
        <v>0.28549848942598188</v>
      </c>
      <c r="G82" s="8">
        <v>3</v>
      </c>
      <c r="H82" s="8">
        <v>0</v>
      </c>
      <c r="I82" s="8">
        <v>3</v>
      </c>
    </row>
    <row r="83" spans="1:9" x14ac:dyDescent="0.2">
      <c r="A83" s="7" t="s">
        <v>82</v>
      </c>
      <c r="B83" s="9">
        <f t="shared" si="3"/>
        <v>507</v>
      </c>
      <c r="C83" s="8">
        <v>329</v>
      </c>
      <c r="D83" s="12">
        <f t="shared" si="4"/>
        <v>0.64891518737672582</v>
      </c>
      <c r="E83" s="8">
        <v>178</v>
      </c>
      <c r="F83" s="12">
        <f t="shared" si="5"/>
        <v>0.35108481262327418</v>
      </c>
      <c r="G83" s="8">
        <v>0</v>
      </c>
      <c r="H83" s="8">
        <v>0</v>
      </c>
      <c r="I83" s="8">
        <v>1</v>
      </c>
    </row>
    <row r="84" spans="1:9" x14ac:dyDescent="0.2">
      <c r="A84" s="7" t="s">
        <v>83</v>
      </c>
      <c r="B84" s="9">
        <f t="shared" si="3"/>
        <v>595</v>
      </c>
      <c r="C84" s="8">
        <v>354</v>
      </c>
      <c r="D84" s="12">
        <f t="shared" si="4"/>
        <v>0.59495798319327731</v>
      </c>
      <c r="E84" s="8">
        <v>236</v>
      </c>
      <c r="F84" s="12">
        <f t="shared" si="5"/>
        <v>0.39663865546218485</v>
      </c>
      <c r="G84" s="8">
        <v>5</v>
      </c>
      <c r="H84" s="8">
        <v>1</v>
      </c>
      <c r="I84" s="8">
        <v>3</v>
      </c>
    </row>
    <row r="85" spans="1:9" x14ac:dyDescent="0.2">
      <c r="A85" s="7" t="s">
        <v>84</v>
      </c>
      <c r="B85" s="9">
        <f t="shared" si="3"/>
        <v>157</v>
      </c>
      <c r="C85" s="8">
        <v>105</v>
      </c>
      <c r="D85" s="12">
        <f t="shared" si="4"/>
        <v>0.66878980891719741</v>
      </c>
      <c r="E85" s="8">
        <v>52</v>
      </c>
      <c r="F85" s="12">
        <f t="shared" si="5"/>
        <v>0.33121019108280253</v>
      </c>
      <c r="G85" s="8">
        <v>0</v>
      </c>
      <c r="H85" s="8">
        <v>0</v>
      </c>
      <c r="I85" s="8">
        <v>0</v>
      </c>
    </row>
    <row r="86" spans="1:9" x14ac:dyDescent="0.2">
      <c r="A86" s="7" t="s">
        <v>85</v>
      </c>
      <c r="B86" s="9">
        <f t="shared" si="3"/>
        <v>354</v>
      </c>
      <c r="C86" s="8">
        <v>232</v>
      </c>
      <c r="D86" s="12">
        <f t="shared" si="4"/>
        <v>0.65536723163841804</v>
      </c>
      <c r="E86" s="8">
        <v>120</v>
      </c>
      <c r="F86" s="12">
        <f t="shared" si="5"/>
        <v>0.33898305084745761</v>
      </c>
      <c r="G86" s="8">
        <v>2</v>
      </c>
      <c r="H86" s="8">
        <v>0</v>
      </c>
      <c r="I86" s="8">
        <v>1</v>
      </c>
    </row>
    <row r="87" spans="1:9" x14ac:dyDescent="0.2">
      <c r="A87" s="7" t="s">
        <v>86</v>
      </c>
      <c r="B87" s="9">
        <f t="shared" si="3"/>
        <v>297</v>
      </c>
      <c r="C87" s="8">
        <v>147</v>
      </c>
      <c r="D87" s="12">
        <f t="shared" si="4"/>
        <v>0.49494949494949497</v>
      </c>
      <c r="E87" s="8">
        <v>149</v>
      </c>
      <c r="F87" s="12">
        <f t="shared" si="5"/>
        <v>0.50168350168350173</v>
      </c>
      <c r="G87" s="8">
        <v>1</v>
      </c>
      <c r="H87" s="8">
        <v>2</v>
      </c>
      <c r="I87" s="8">
        <v>0</v>
      </c>
    </row>
    <row r="88" spans="1:9" x14ac:dyDescent="0.2">
      <c r="A88" s="7" t="s">
        <v>87</v>
      </c>
      <c r="B88" s="9">
        <f t="shared" si="3"/>
        <v>257</v>
      </c>
      <c r="C88" s="8">
        <v>125</v>
      </c>
      <c r="D88" s="12">
        <f t="shared" si="4"/>
        <v>0.48638132295719844</v>
      </c>
      <c r="E88" s="8">
        <v>131</v>
      </c>
      <c r="F88" s="12">
        <f t="shared" si="5"/>
        <v>0.50972762645914393</v>
      </c>
      <c r="G88" s="8">
        <v>1</v>
      </c>
      <c r="H88" s="8">
        <v>0</v>
      </c>
      <c r="I88" s="8">
        <v>1</v>
      </c>
    </row>
    <row r="89" spans="1:9" x14ac:dyDescent="0.2">
      <c r="A89" s="7" t="s">
        <v>88</v>
      </c>
      <c r="B89" s="9">
        <f t="shared" si="3"/>
        <v>213</v>
      </c>
      <c r="C89" s="8">
        <v>140</v>
      </c>
      <c r="D89" s="12">
        <f t="shared" si="4"/>
        <v>0.65727699530516437</v>
      </c>
      <c r="E89" s="8">
        <v>73</v>
      </c>
      <c r="F89" s="12">
        <f t="shared" si="5"/>
        <v>0.34272300469483569</v>
      </c>
      <c r="G89" s="8">
        <v>0</v>
      </c>
      <c r="H89" s="8">
        <v>1</v>
      </c>
      <c r="I89" s="8">
        <v>3</v>
      </c>
    </row>
    <row r="90" spans="1:9" x14ac:dyDescent="0.2">
      <c r="A90" s="7" t="s">
        <v>89</v>
      </c>
      <c r="B90" s="9">
        <f t="shared" si="3"/>
        <v>181</v>
      </c>
      <c r="C90" s="8">
        <v>106</v>
      </c>
      <c r="D90" s="12">
        <f t="shared" si="4"/>
        <v>0.58563535911602205</v>
      </c>
      <c r="E90" s="8">
        <v>72</v>
      </c>
      <c r="F90" s="12">
        <f t="shared" si="5"/>
        <v>0.39779005524861877</v>
      </c>
      <c r="G90" s="8">
        <v>3</v>
      </c>
      <c r="H90" s="8">
        <v>0</v>
      </c>
      <c r="I90" s="8">
        <v>1</v>
      </c>
    </row>
    <row r="91" spans="1:9" x14ac:dyDescent="0.2">
      <c r="A91" s="7" t="s">
        <v>90</v>
      </c>
      <c r="B91" s="9">
        <f t="shared" si="3"/>
        <v>223</v>
      </c>
      <c r="C91" s="8">
        <v>143</v>
      </c>
      <c r="D91" s="12">
        <f t="shared" si="4"/>
        <v>0.64125560538116588</v>
      </c>
      <c r="E91" s="8">
        <v>78</v>
      </c>
      <c r="F91" s="12">
        <f t="shared" si="5"/>
        <v>0.34977578475336324</v>
      </c>
      <c r="G91" s="8">
        <v>2</v>
      </c>
      <c r="H91" s="8">
        <v>0</v>
      </c>
      <c r="I91" s="8">
        <v>0</v>
      </c>
    </row>
    <row r="92" spans="1:9" x14ac:dyDescent="0.2">
      <c r="A92" s="7" t="s">
        <v>91</v>
      </c>
      <c r="B92" s="9">
        <f t="shared" si="3"/>
        <v>291</v>
      </c>
      <c r="C92" s="8">
        <v>189</v>
      </c>
      <c r="D92" s="12">
        <f t="shared" si="4"/>
        <v>0.64948453608247425</v>
      </c>
      <c r="E92" s="8">
        <v>98</v>
      </c>
      <c r="F92" s="12">
        <f t="shared" si="5"/>
        <v>0.33676975945017185</v>
      </c>
      <c r="G92" s="8">
        <v>4</v>
      </c>
      <c r="H92" s="8">
        <v>0</v>
      </c>
      <c r="I92" s="8">
        <v>5</v>
      </c>
    </row>
    <row r="93" spans="1:9" x14ac:dyDescent="0.2">
      <c r="A93" s="7" t="s">
        <v>92</v>
      </c>
      <c r="B93" s="9">
        <f t="shared" si="3"/>
        <v>391</v>
      </c>
      <c r="C93" s="8">
        <v>220</v>
      </c>
      <c r="D93" s="12">
        <f t="shared" si="4"/>
        <v>0.5626598465473146</v>
      </c>
      <c r="E93" s="8">
        <v>170</v>
      </c>
      <c r="F93" s="12">
        <f t="shared" si="5"/>
        <v>0.43478260869565216</v>
      </c>
      <c r="G93" s="8">
        <v>1</v>
      </c>
      <c r="H93" s="8">
        <v>0</v>
      </c>
      <c r="I93" s="8">
        <v>1</v>
      </c>
    </row>
    <row r="94" spans="1:9" x14ac:dyDescent="0.2">
      <c r="A94" s="7" t="s">
        <v>93</v>
      </c>
      <c r="B94" s="9">
        <f t="shared" si="3"/>
        <v>392</v>
      </c>
      <c r="C94" s="8">
        <v>217</v>
      </c>
      <c r="D94" s="12">
        <f t="shared" si="4"/>
        <v>0.5535714285714286</v>
      </c>
      <c r="E94" s="8">
        <v>167</v>
      </c>
      <c r="F94" s="12">
        <f t="shared" si="5"/>
        <v>0.42602040816326531</v>
      </c>
      <c r="G94" s="8">
        <v>8</v>
      </c>
      <c r="H94" s="8">
        <v>1</v>
      </c>
      <c r="I94" s="8">
        <v>3</v>
      </c>
    </row>
    <row r="95" spans="1:9" x14ac:dyDescent="0.2">
      <c r="A95" s="7" t="s">
        <v>94</v>
      </c>
      <c r="B95" s="9">
        <f t="shared" si="3"/>
        <v>407</v>
      </c>
      <c r="C95" s="8">
        <v>223</v>
      </c>
      <c r="D95" s="12">
        <f t="shared" si="4"/>
        <v>0.54791154791154795</v>
      </c>
      <c r="E95" s="8">
        <v>180</v>
      </c>
      <c r="F95" s="12">
        <f t="shared" si="5"/>
        <v>0.44226044226044225</v>
      </c>
      <c r="G95" s="8">
        <v>4</v>
      </c>
      <c r="H95" s="8">
        <v>0</v>
      </c>
      <c r="I95" s="8">
        <v>0</v>
      </c>
    </row>
    <row r="96" spans="1:9" x14ac:dyDescent="0.2">
      <c r="A96" s="7" t="s">
        <v>95</v>
      </c>
      <c r="B96" s="9">
        <f t="shared" si="3"/>
        <v>390</v>
      </c>
      <c r="C96" s="8">
        <v>218</v>
      </c>
      <c r="D96" s="12">
        <f t="shared" si="4"/>
        <v>0.55897435897435899</v>
      </c>
      <c r="E96" s="8">
        <v>171</v>
      </c>
      <c r="F96" s="12">
        <f t="shared" si="5"/>
        <v>0.43846153846153846</v>
      </c>
      <c r="G96" s="8">
        <v>1</v>
      </c>
      <c r="H96" s="8">
        <v>0</v>
      </c>
      <c r="I96" s="8">
        <v>1</v>
      </c>
    </row>
    <row r="97" spans="1:9" x14ac:dyDescent="0.2">
      <c r="A97" s="7" t="s">
        <v>96</v>
      </c>
      <c r="B97" s="9">
        <f t="shared" si="3"/>
        <v>233</v>
      </c>
      <c r="C97" s="8">
        <v>148</v>
      </c>
      <c r="D97" s="12">
        <f t="shared" si="4"/>
        <v>0.63519313304721026</v>
      </c>
      <c r="E97" s="8">
        <v>84</v>
      </c>
      <c r="F97" s="12">
        <f t="shared" si="5"/>
        <v>0.36051502145922748</v>
      </c>
      <c r="G97" s="8">
        <v>1</v>
      </c>
      <c r="H97" s="8">
        <v>0</v>
      </c>
      <c r="I97" s="8">
        <v>1</v>
      </c>
    </row>
    <row r="98" spans="1:9" x14ac:dyDescent="0.2">
      <c r="A98" s="7" t="s">
        <v>97</v>
      </c>
      <c r="B98" s="9">
        <f t="shared" si="3"/>
        <v>480</v>
      </c>
      <c r="C98" s="8">
        <v>209</v>
      </c>
      <c r="D98" s="12">
        <f t="shared" si="4"/>
        <v>0.43541666666666667</v>
      </c>
      <c r="E98" s="8">
        <v>269</v>
      </c>
      <c r="F98" s="12">
        <f t="shared" si="5"/>
        <v>0.56041666666666667</v>
      </c>
      <c r="G98" s="8">
        <v>2</v>
      </c>
      <c r="H98" s="8">
        <v>0</v>
      </c>
      <c r="I98" s="8">
        <v>4</v>
      </c>
    </row>
    <row r="99" spans="1:9" x14ac:dyDescent="0.2">
      <c r="A99" s="7" t="s">
        <v>98</v>
      </c>
      <c r="B99" s="9">
        <f t="shared" si="3"/>
        <v>399</v>
      </c>
      <c r="C99" s="8">
        <v>210</v>
      </c>
      <c r="D99" s="12">
        <f t="shared" si="4"/>
        <v>0.52631578947368418</v>
      </c>
      <c r="E99" s="8">
        <v>186</v>
      </c>
      <c r="F99" s="12">
        <f t="shared" si="5"/>
        <v>0.46616541353383456</v>
      </c>
      <c r="G99" s="8">
        <v>3</v>
      </c>
      <c r="H99" s="8">
        <v>0</v>
      </c>
      <c r="I99" s="8">
        <v>0</v>
      </c>
    </row>
    <row r="100" spans="1:9" x14ac:dyDescent="0.2">
      <c r="A100" s="7" t="s">
        <v>99</v>
      </c>
      <c r="B100" s="9">
        <f t="shared" si="3"/>
        <v>258</v>
      </c>
      <c r="C100" s="8">
        <v>169</v>
      </c>
      <c r="D100" s="12">
        <f t="shared" si="4"/>
        <v>0.65503875968992253</v>
      </c>
      <c r="E100" s="8">
        <v>89</v>
      </c>
      <c r="F100" s="12">
        <f t="shared" si="5"/>
        <v>0.34496124031007752</v>
      </c>
      <c r="G100" s="8">
        <v>0</v>
      </c>
      <c r="H100" s="8">
        <v>1</v>
      </c>
      <c r="I100" s="8">
        <v>0</v>
      </c>
    </row>
    <row r="101" spans="1:9" x14ac:dyDescent="0.2">
      <c r="A101" s="7" t="s">
        <v>100</v>
      </c>
      <c r="B101" s="9">
        <f t="shared" si="3"/>
        <v>612</v>
      </c>
      <c r="C101" s="8">
        <v>284</v>
      </c>
      <c r="D101" s="12">
        <f t="shared" si="4"/>
        <v>0.46405228758169936</v>
      </c>
      <c r="E101" s="8">
        <v>328</v>
      </c>
      <c r="F101" s="12">
        <f t="shared" si="5"/>
        <v>0.53594771241830064</v>
      </c>
      <c r="G101" s="8">
        <v>0</v>
      </c>
      <c r="H101" s="8">
        <v>0</v>
      </c>
      <c r="I101" s="8">
        <v>0</v>
      </c>
    </row>
    <row r="102" spans="1:9" x14ac:dyDescent="0.2">
      <c r="A102" s="7" t="s">
        <v>101</v>
      </c>
      <c r="B102" s="9">
        <f t="shared" si="3"/>
        <v>347</v>
      </c>
      <c r="C102" s="8">
        <v>180</v>
      </c>
      <c r="D102" s="12">
        <f t="shared" si="4"/>
        <v>0.51873198847262247</v>
      </c>
      <c r="E102" s="8">
        <v>167</v>
      </c>
      <c r="F102" s="12">
        <f t="shared" si="5"/>
        <v>0.48126801152737753</v>
      </c>
      <c r="G102" s="8">
        <v>0</v>
      </c>
      <c r="H102" s="8">
        <v>0</v>
      </c>
      <c r="I102" s="8">
        <v>0</v>
      </c>
    </row>
    <row r="103" spans="1:9" x14ac:dyDescent="0.2">
      <c r="A103" s="7" t="s">
        <v>102</v>
      </c>
      <c r="B103" s="9">
        <f t="shared" si="3"/>
        <v>545</v>
      </c>
      <c r="C103" s="8">
        <v>250</v>
      </c>
      <c r="D103" s="12">
        <f t="shared" si="4"/>
        <v>0.45871559633027525</v>
      </c>
      <c r="E103" s="8">
        <v>294</v>
      </c>
      <c r="F103" s="12">
        <f t="shared" si="5"/>
        <v>0.5394495412844037</v>
      </c>
      <c r="G103" s="8">
        <v>1</v>
      </c>
      <c r="H103" s="8">
        <v>0</v>
      </c>
      <c r="I103" s="8">
        <v>1</v>
      </c>
    </row>
    <row r="104" spans="1:9" x14ac:dyDescent="0.2">
      <c r="A104" s="7" t="s">
        <v>103</v>
      </c>
      <c r="B104" s="9">
        <f t="shared" si="3"/>
        <v>618</v>
      </c>
      <c r="C104" s="8">
        <v>205</v>
      </c>
      <c r="D104" s="12">
        <f t="shared" si="4"/>
        <v>0.33171521035598706</v>
      </c>
      <c r="E104" s="8">
        <v>412</v>
      </c>
      <c r="F104" s="12">
        <f t="shared" si="5"/>
        <v>0.66666666666666663</v>
      </c>
      <c r="G104" s="8">
        <v>1</v>
      </c>
      <c r="H104" s="8">
        <v>0</v>
      </c>
      <c r="I104" s="8">
        <v>1</v>
      </c>
    </row>
    <row r="105" spans="1:9" x14ac:dyDescent="0.2">
      <c r="A105" s="7" t="s">
        <v>104</v>
      </c>
      <c r="B105" s="9">
        <f t="shared" si="3"/>
        <v>498</v>
      </c>
      <c r="C105" s="8">
        <v>261</v>
      </c>
      <c r="D105" s="12">
        <f t="shared" si="4"/>
        <v>0.52409638554216864</v>
      </c>
      <c r="E105" s="8">
        <v>233</v>
      </c>
      <c r="F105" s="12">
        <f t="shared" si="5"/>
        <v>0.46787148594377509</v>
      </c>
      <c r="G105" s="8">
        <v>4</v>
      </c>
      <c r="H105" s="8">
        <v>1</v>
      </c>
      <c r="I105" s="8">
        <v>2</v>
      </c>
    </row>
    <row r="106" spans="1:9" x14ac:dyDescent="0.2">
      <c r="A106" s="7" t="s">
        <v>105</v>
      </c>
      <c r="B106" s="9">
        <f t="shared" si="3"/>
        <v>526</v>
      </c>
      <c r="C106" s="8">
        <v>260</v>
      </c>
      <c r="D106" s="12">
        <f t="shared" si="4"/>
        <v>0.49429657794676807</v>
      </c>
      <c r="E106" s="8">
        <v>264</v>
      </c>
      <c r="F106" s="12">
        <f t="shared" si="5"/>
        <v>0.50190114068441061</v>
      </c>
      <c r="G106" s="8">
        <v>2</v>
      </c>
      <c r="H106" s="8">
        <v>0</v>
      </c>
      <c r="I106" s="8">
        <v>1</v>
      </c>
    </row>
    <row r="107" spans="1:9" x14ac:dyDescent="0.2">
      <c r="A107" s="7" t="s">
        <v>106</v>
      </c>
      <c r="B107" s="9">
        <f t="shared" si="3"/>
        <v>421</v>
      </c>
      <c r="C107" s="8">
        <v>227</v>
      </c>
      <c r="D107" s="12">
        <f t="shared" si="4"/>
        <v>0.53919239904988125</v>
      </c>
      <c r="E107" s="8">
        <v>193</v>
      </c>
      <c r="F107" s="12">
        <f t="shared" si="5"/>
        <v>0.45843230403800472</v>
      </c>
      <c r="G107" s="8">
        <v>1</v>
      </c>
      <c r="H107" s="8">
        <v>2</v>
      </c>
      <c r="I107" s="8">
        <v>0</v>
      </c>
    </row>
    <row r="108" spans="1:9" x14ac:dyDescent="0.2">
      <c r="A108" s="7" t="s">
        <v>107</v>
      </c>
      <c r="B108" s="9">
        <f t="shared" si="3"/>
        <v>565</v>
      </c>
      <c r="C108" s="8">
        <v>277</v>
      </c>
      <c r="D108" s="12">
        <f t="shared" si="4"/>
        <v>0.49026548672566372</v>
      </c>
      <c r="E108" s="8">
        <v>288</v>
      </c>
      <c r="F108" s="12">
        <f t="shared" si="5"/>
        <v>0.50973451327433628</v>
      </c>
      <c r="G108" s="8">
        <v>0</v>
      </c>
      <c r="H108" s="8">
        <v>0</v>
      </c>
      <c r="I108" s="8">
        <v>0</v>
      </c>
    </row>
    <row r="109" spans="1:9" x14ac:dyDescent="0.2">
      <c r="A109" s="7" t="s">
        <v>108</v>
      </c>
      <c r="B109" s="9">
        <f t="shared" si="3"/>
        <v>557</v>
      </c>
      <c r="C109" s="8">
        <v>269</v>
      </c>
      <c r="D109" s="12">
        <f t="shared" si="4"/>
        <v>0.48294434470377018</v>
      </c>
      <c r="E109" s="8">
        <v>286</v>
      </c>
      <c r="F109" s="12">
        <f t="shared" si="5"/>
        <v>0.51346499102333931</v>
      </c>
      <c r="G109" s="8">
        <v>2</v>
      </c>
      <c r="H109" s="8">
        <v>1</v>
      </c>
      <c r="I109" s="8">
        <v>0</v>
      </c>
    </row>
    <row r="110" spans="1:9" x14ac:dyDescent="0.2">
      <c r="A110" s="7" t="s">
        <v>109</v>
      </c>
      <c r="B110" s="9">
        <f t="shared" si="3"/>
        <v>756</v>
      </c>
      <c r="C110" s="8">
        <v>270</v>
      </c>
      <c r="D110" s="12">
        <f t="shared" si="4"/>
        <v>0.35714285714285715</v>
      </c>
      <c r="E110" s="8">
        <v>485</v>
      </c>
      <c r="F110" s="12">
        <f t="shared" si="5"/>
        <v>0.64153439153439151</v>
      </c>
      <c r="G110" s="8">
        <v>1</v>
      </c>
      <c r="H110" s="8">
        <v>1</v>
      </c>
      <c r="I110" s="8">
        <v>0</v>
      </c>
    </row>
    <row r="111" spans="1:9" x14ac:dyDescent="0.2">
      <c r="A111" s="7" t="s">
        <v>110</v>
      </c>
      <c r="B111" s="9">
        <f t="shared" si="3"/>
        <v>634</v>
      </c>
      <c r="C111" s="8">
        <v>241</v>
      </c>
      <c r="D111" s="12">
        <f t="shared" si="4"/>
        <v>0.38012618296529971</v>
      </c>
      <c r="E111" s="8">
        <v>393</v>
      </c>
      <c r="F111" s="12">
        <f t="shared" si="5"/>
        <v>0.61987381703470035</v>
      </c>
      <c r="G111" s="8">
        <v>0</v>
      </c>
      <c r="H111" s="8">
        <v>0</v>
      </c>
      <c r="I111" s="8">
        <v>1</v>
      </c>
    </row>
    <row r="112" spans="1:9" x14ac:dyDescent="0.2">
      <c r="A112" s="7" t="s">
        <v>111</v>
      </c>
      <c r="B112" s="9">
        <f t="shared" si="3"/>
        <v>414</v>
      </c>
      <c r="C112" s="8">
        <v>190</v>
      </c>
      <c r="D112" s="12">
        <f t="shared" si="4"/>
        <v>0.45893719806763283</v>
      </c>
      <c r="E112" s="8">
        <v>221</v>
      </c>
      <c r="F112" s="12">
        <f t="shared" si="5"/>
        <v>0.53381642512077299</v>
      </c>
      <c r="G112" s="8">
        <v>3</v>
      </c>
      <c r="H112" s="8">
        <v>0</v>
      </c>
      <c r="I112" s="8">
        <v>0</v>
      </c>
    </row>
    <row r="113" spans="1:9" x14ac:dyDescent="0.2">
      <c r="A113" s="7" t="s">
        <v>112</v>
      </c>
      <c r="B113" s="9">
        <f t="shared" si="3"/>
        <v>412</v>
      </c>
      <c r="C113" s="8">
        <v>190</v>
      </c>
      <c r="D113" s="12">
        <f t="shared" si="4"/>
        <v>0.46116504854368934</v>
      </c>
      <c r="E113" s="8">
        <v>222</v>
      </c>
      <c r="F113" s="12">
        <f t="shared" si="5"/>
        <v>0.53883495145631066</v>
      </c>
      <c r="G113" s="8">
        <v>0</v>
      </c>
      <c r="H113" s="8">
        <v>0</v>
      </c>
      <c r="I113" s="8">
        <v>2</v>
      </c>
    </row>
    <row r="114" spans="1:9" x14ac:dyDescent="0.2">
      <c r="A114" s="7" t="s">
        <v>113</v>
      </c>
      <c r="B114" s="9">
        <f t="shared" si="3"/>
        <v>542</v>
      </c>
      <c r="C114" s="8">
        <v>283</v>
      </c>
      <c r="D114" s="12">
        <f t="shared" si="4"/>
        <v>0.52214022140221406</v>
      </c>
      <c r="E114" s="8">
        <v>256</v>
      </c>
      <c r="F114" s="12">
        <f t="shared" si="5"/>
        <v>0.47232472324723246</v>
      </c>
      <c r="G114" s="8">
        <v>3</v>
      </c>
      <c r="H114" s="8">
        <v>0</v>
      </c>
      <c r="I114" s="8">
        <v>3</v>
      </c>
    </row>
    <row r="115" spans="1:9" x14ac:dyDescent="0.2">
      <c r="A115" s="7" t="s">
        <v>114</v>
      </c>
      <c r="B115" s="9">
        <f t="shared" si="3"/>
        <v>539</v>
      </c>
      <c r="C115" s="8">
        <v>228</v>
      </c>
      <c r="D115" s="12">
        <f t="shared" si="4"/>
        <v>0.42300556586270871</v>
      </c>
      <c r="E115" s="8">
        <v>310</v>
      </c>
      <c r="F115" s="12">
        <f t="shared" si="5"/>
        <v>0.57513914656771803</v>
      </c>
      <c r="G115" s="8">
        <v>1</v>
      </c>
      <c r="H115" s="8">
        <v>1</v>
      </c>
      <c r="I115" s="8">
        <v>2</v>
      </c>
    </row>
    <row r="116" spans="1:9" x14ac:dyDescent="0.2">
      <c r="A116" s="7" t="s">
        <v>115</v>
      </c>
      <c r="B116" s="9">
        <f t="shared" si="3"/>
        <v>557</v>
      </c>
      <c r="C116" s="8">
        <v>238</v>
      </c>
      <c r="D116" s="12">
        <f t="shared" si="4"/>
        <v>0.4272890484739677</v>
      </c>
      <c r="E116" s="8">
        <v>317</v>
      </c>
      <c r="F116" s="12">
        <f t="shared" si="5"/>
        <v>0.56912028725314179</v>
      </c>
      <c r="G116" s="8">
        <v>2</v>
      </c>
      <c r="H116" s="8">
        <v>0</v>
      </c>
      <c r="I116" s="8">
        <v>0</v>
      </c>
    </row>
    <row r="117" spans="1:9" x14ac:dyDescent="0.2">
      <c r="A117" s="7" t="s">
        <v>116</v>
      </c>
      <c r="B117" s="9">
        <f t="shared" si="3"/>
        <v>720</v>
      </c>
      <c r="C117" s="8">
        <v>257</v>
      </c>
      <c r="D117" s="12">
        <f t="shared" si="4"/>
        <v>0.35694444444444445</v>
      </c>
      <c r="E117" s="8">
        <v>460</v>
      </c>
      <c r="F117" s="12">
        <f t="shared" si="5"/>
        <v>0.63888888888888884</v>
      </c>
      <c r="G117" s="8">
        <v>3</v>
      </c>
      <c r="H117" s="8">
        <v>0</v>
      </c>
      <c r="I117" s="8">
        <v>1</v>
      </c>
    </row>
    <row r="118" spans="1:9" x14ac:dyDescent="0.2">
      <c r="A118" s="7" t="s">
        <v>117</v>
      </c>
      <c r="B118" s="9">
        <f t="shared" si="3"/>
        <v>650</v>
      </c>
      <c r="C118" s="8">
        <v>158</v>
      </c>
      <c r="D118" s="12">
        <f t="shared" si="4"/>
        <v>0.24307692307692308</v>
      </c>
      <c r="E118" s="8">
        <v>491</v>
      </c>
      <c r="F118" s="12">
        <f t="shared" si="5"/>
        <v>0.75538461538461543</v>
      </c>
      <c r="G118" s="8">
        <v>1</v>
      </c>
      <c r="H118" s="8">
        <v>2</v>
      </c>
      <c r="I118" s="8">
        <v>2</v>
      </c>
    </row>
    <row r="119" spans="1:9" x14ac:dyDescent="0.2">
      <c r="A119" s="7" t="s">
        <v>118</v>
      </c>
      <c r="B119" s="9">
        <f t="shared" si="3"/>
        <v>734</v>
      </c>
      <c r="C119" s="8">
        <v>248</v>
      </c>
      <c r="D119" s="12">
        <f t="shared" si="4"/>
        <v>0.33787465940054495</v>
      </c>
      <c r="E119" s="8">
        <v>486</v>
      </c>
      <c r="F119" s="12">
        <f t="shared" si="5"/>
        <v>0.66212534059945505</v>
      </c>
      <c r="G119" s="8">
        <v>0</v>
      </c>
      <c r="H119" s="8">
        <v>0</v>
      </c>
      <c r="I119" s="8">
        <v>0</v>
      </c>
    </row>
    <row r="120" spans="1:9" x14ac:dyDescent="0.2">
      <c r="A120" s="7" t="s">
        <v>119</v>
      </c>
      <c r="B120" s="9">
        <f t="shared" si="3"/>
        <v>470</v>
      </c>
      <c r="C120" s="8">
        <v>168</v>
      </c>
      <c r="D120" s="12">
        <f t="shared" si="4"/>
        <v>0.35744680851063831</v>
      </c>
      <c r="E120" s="8">
        <v>302</v>
      </c>
      <c r="F120" s="12">
        <f t="shared" si="5"/>
        <v>0.64255319148936174</v>
      </c>
      <c r="G120" s="8">
        <v>0</v>
      </c>
      <c r="H120" s="8">
        <v>1</v>
      </c>
      <c r="I120" s="8">
        <v>1</v>
      </c>
    </row>
    <row r="121" spans="1:9" x14ac:dyDescent="0.2">
      <c r="A121" s="7" t="s">
        <v>120</v>
      </c>
      <c r="B121" s="9">
        <f t="shared" si="3"/>
        <v>689</v>
      </c>
      <c r="C121" s="8">
        <v>246</v>
      </c>
      <c r="D121" s="12">
        <f t="shared" si="4"/>
        <v>0.35703918722786648</v>
      </c>
      <c r="E121" s="8">
        <v>441</v>
      </c>
      <c r="F121" s="12">
        <f t="shared" si="5"/>
        <v>0.64005805515239478</v>
      </c>
      <c r="G121" s="8">
        <v>2</v>
      </c>
      <c r="H121" s="8">
        <v>1</v>
      </c>
      <c r="I121" s="8">
        <v>0</v>
      </c>
    </row>
    <row r="122" spans="1:9" x14ac:dyDescent="0.2">
      <c r="A122" s="7" t="s">
        <v>121</v>
      </c>
      <c r="B122" s="9">
        <f t="shared" si="3"/>
        <v>685</v>
      </c>
      <c r="C122" s="8">
        <v>247</v>
      </c>
      <c r="D122" s="12">
        <f t="shared" si="4"/>
        <v>0.3605839416058394</v>
      </c>
      <c r="E122" s="8">
        <v>437</v>
      </c>
      <c r="F122" s="12">
        <f t="shared" si="5"/>
        <v>0.63795620437956202</v>
      </c>
      <c r="G122" s="8">
        <v>1</v>
      </c>
      <c r="H122" s="8">
        <v>2</v>
      </c>
      <c r="I122" s="8">
        <v>1</v>
      </c>
    </row>
    <row r="123" spans="1:9" x14ac:dyDescent="0.2">
      <c r="A123" s="7" t="s">
        <v>122</v>
      </c>
      <c r="B123" s="9">
        <f t="shared" si="3"/>
        <v>549</v>
      </c>
      <c r="C123" s="8">
        <v>200</v>
      </c>
      <c r="D123" s="12">
        <f t="shared" si="4"/>
        <v>0.36429872495446264</v>
      </c>
      <c r="E123" s="8">
        <v>349</v>
      </c>
      <c r="F123" s="12">
        <f t="shared" si="5"/>
        <v>0.63570127504553731</v>
      </c>
      <c r="G123" s="8">
        <v>0</v>
      </c>
      <c r="H123" s="8">
        <v>0</v>
      </c>
      <c r="I123" s="8">
        <v>0</v>
      </c>
    </row>
    <row r="124" spans="1:9" x14ac:dyDescent="0.2">
      <c r="A124" s="7" t="s">
        <v>123</v>
      </c>
      <c r="B124" s="9">
        <f t="shared" si="3"/>
        <v>493</v>
      </c>
      <c r="C124" s="8">
        <v>169</v>
      </c>
      <c r="D124" s="12">
        <f t="shared" si="4"/>
        <v>0.34279918864097364</v>
      </c>
      <c r="E124" s="8">
        <v>324</v>
      </c>
      <c r="F124" s="12">
        <f t="shared" si="5"/>
        <v>0.65720081135902642</v>
      </c>
      <c r="G124" s="8">
        <v>0</v>
      </c>
      <c r="H124" s="8">
        <v>1</v>
      </c>
      <c r="I124" s="8">
        <v>0</v>
      </c>
    </row>
    <row r="125" spans="1:9" x14ac:dyDescent="0.2">
      <c r="A125" s="7" t="s">
        <v>124</v>
      </c>
      <c r="B125" s="9">
        <f t="shared" si="3"/>
        <v>331</v>
      </c>
      <c r="C125" s="8">
        <v>149</v>
      </c>
      <c r="D125" s="12">
        <f t="shared" si="4"/>
        <v>0.45015105740181272</v>
      </c>
      <c r="E125" s="8">
        <v>182</v>
      </c>
      <c r="F125" s="12">
        <f t="shared" si="5"/>
        <v>0.54984894259818728</v>
      </c>
      <c r="G125" s="8">
        <v>0</v>
      </c>
      <c r="H125" s="8">
        <v>0</v>
      </c>
      <c r="I125" s="8">
        <v>1</v>
      </c>
    </row>
    <row r="126" spans="1:9" x14ac:dyDescent="0.2">
      <c r="A126" s="7" t="s">
        <v>125</v>
      </c>
      <c r="B126" s="9">
        <f t="shared" si="3"/>
        <v>931</v>
      </c>
      <c r="C126" s="8">
        <v>445</v>
      </c>
      <c r="D126" s="12">
        <f t="shared" si="4"/>
        <v>0.47798066595059074</v>
      </c>
      <c r="E126" s="8">
        <v>483</v>
      </c>
      <c r="F126" s="12">
        <f t="shared" si="5"/>
        <v>0.51879699248120303</v>
      </c>
      <c r="G126" s="8">
        <v>3</v>
      </c>
      <c r="H126" s="8">
        <v>1</v>
      </c>
      <c r="I126" s="8">
        <v>0</v>
      </c>
    </row>
    <row r="127" spans="1:9" x14ac:dyDescent="0.2">
      <c r="A127" s="7" t="s">
        <v>126</v>
      </c>
      <c r="B127" s="9">
        <f t="shared" si="3"/>
        <v>669</v>
      </c>
      <c r="C127" s="8">
        <v>238</v>
      </c>
      <c r="D127" s="12">
        <f t="shared" si="4"/>
        <v>0.35575485799701045</v>
      </c>
      <c r="E127" s="8">
        <v>430</v>
      </c>
      <c r="F127" s="12">
        <f t="shared" si="5"/>
        <v>0.64275037369207777</v>
      </c>
      <c r="G127" s="8">
        <v>1</v>
      </c>
      <c r="H127" s="8">
        <v>0</v>
      </c>
      <c r="I127" s="8">
        <v>2</v>
      </c>
    </row>
    <row r="128" spans="1:9" x14ac:dyDescent="0.2">
      <c r="A128" s="7" t="s">
        <v>127</v>
      </c>
      <c r="B128" s="9">
        <f t="shared" si="3"/>
        <v>765</v>
      </c>
      <c r="C128" s="8">
        <v>355</v>
      </c>
      <c r="D128" s="12">
        <f t="shared" si="4"/>
        <v>0.46405228758169936</v>
      </c>
      <c r="E128" s="8">
        <v>410</v>
      </c>
      <c r="F128" s="12">
        <f t="shared" si="5"/>
        <v>0.53594771241830064</v>
      </c>
      <c r="G128" s="8">
        <v>0</v>
      </c>
      <c r="H128" s="8">
        <v>2</v>
      </c>
      <c r="I128" s="8">
        <v>3</v>
      </c>
    </row>
    <row r="129" spans="1:9" x14ac:dyDescent="0.2">
      <c r="A129" s="7" t="s">
        <v>128</v>
      </c>
      <c r="B129" s="9">
        <f t="shared" si="3"/>
        <v>851</v>
      </c>
      <c r="C129" s="8">
        <v>431</v>
      </c>
      <c r="D129" s="12">
        <f t="shared" si="4"/>
        <v>0.50646298472385431</v>
      </c>
      <c r="E129" s="8">
        <v>417</v>
      </c>
      <c r="F129" s="12">
        <f t="shared" si="5"/>
        <v>0.4900117508813161</v>
      </c>
      <c r="G129" s="8">
        <v>3</v>
      </c>
      <c r="H129" s="8">
        <v>0</v>
      </c>
      <c r="I129" s="8">
        <v>4</v>
      </c>
    </row>
    <row r="130" spans="1:9" x14ac:dyDescent="0.2">
      <c r="A130" s="7" t="s">
        <v>129</v>
      </c>
      <c r="B130" s="9">
        <f t="shared" si="3"/>
        <v>774</v>
      </c>
      <c r="C130" s="8">
        <v>432</v>
      </c>
      <c r="D130" s="12">
        <f t="shared" si="4"/>
        <v>0.55813953488372092</v>
      </c>
      <c r="E130" s="8">
        <v>340</v>
      </c>
      <c r="F130" s="12">
        <f t="shared" si="5"/>
        <v>0.43927648578811368</v>
      </c>
      <c r="G130" s="8">
        <v>2</v>
      </c>
      <c r="H130" s="8">
        <v>0</v>
      </c>
      <c r="I130" s="8">
        <v>3</v>
      </c>
    </row>
    <row r="131" spans="1:9" x14ac:dyDescent="0.2">
      <c r="A131" s="7" t="s">
        <v>130</v>
      </c>
      <c r="B131" s="9">
        <f t="shared" si="3"/>
        <v>744</v>
      </c>
      <c r="C131" s="8">
        <v>359</v>
      </c>
      <c r="D131" s="12">
        <f t="shared" si="4"/>
        <v>0.48252688172043012</v>
      </c>
      <c r="E131" s="8">
        <v>384</v>
      </c>
      <c r="F131" s="12">
        <f t="shared" si="5"/>
        <v>0.5161290322580645</v>
      </c>
      <c r="G131" s="8">
        <v>1</v>
      </c>
      <c r="H131" s="8">
        <v>0</v>
      </c>
      <c r="I131" s="8">
        <v>2</v>
      </c>
    </row>
    <row r="132" spans="1:9" x14ac:dyDescent="0.2">
      <c r="A132" s="7" t="s">
        <v>131</v>
      </c>
      <c r="B132" s="9">
        <f t="shared" ref="B132:B187" si="6">SUM(C132,E132,G132)</f>
        <v>627</v>
      </c>
      <c r="C132" s="8">
        <v>362</v>
      </c>
      <c r="D132" s="12">
        <f t="shared" ref="D132:D188" si="7">C132/B132</f>
        <v>0.57735247208931417</v>
      </c>
      <c r="E132" s="8">
        <v>263</v>
      </c>
      <c r="F132" s="12">
        <f t="shared" ref="F132:F188" si="8">E132/B132</f>
        <v>0.41945773524720892</v>
      </c>
      <c r="G132" s="8">
        <v>2</v>
      </c>
      <c r="H132" s="8">
        <v>0</v>
      </c>
      <c r="I132" s="8">
        <v>2</v>
      </c>
    </row>
    <row r="133" spans="1:9" x14ac:dyDescent="0.2">
      <c r="A133" s="7" t="s">
        <v>132</v>
      </c>
      <c r="B133" s="9">
        <f t="shared" si="6"/>
        <v>824</v>
      </c>
      <c r="C133" s="8">
        <v>359</v>
      </c>
      <c r="D133" s="12">
        <f t="shared" si="7"/>
        <v>0.43567961165048541</v>
      </c>
      <c r="E133" s="8">
        <v>465</v>
      </c>
      <c r="F133" s="12">
        <f t="shared" si="8"/>
        <v>0.56432038834951459</v>
      </c>
      <c r="G133" s="8">
        <v>0</v>
      </c>
      <c r="H133" s="8">
        <v>3</v>
      </c>
      <c r="I133" s="8">
        <v>1</v>
      </c>
    </row>
    <row r="134" spans="1:9" x14ac:dyDescent="0.2">
      <c r="A134" s="7" t="s">
        <v>133</v>
      </c>
      <c r="B134" s="9">
        <f t="shared" si="6"/>
        <v>843</v>
      </c>
      <c r="C134" s="8">
        <v>427</v>
      </c>
      <c r="D134" s="12">
        <f t="shared" si="7"/>
        <v>0.5065243179122183</v>
      </c>
      <c r="E134" s="8">
        <v>412</v>
      </c>
      <c r="F134" s="12">
        <f t="shared" si="8"/>
        <v>0.48873072360616843</v>
      </c>
      <c r="G134" s="8">
        <v>4</v>
      </c>
      <c r="H134" s="8">
        <v>0</v>
      </c>
      <c r="I134" s="8">
        <v>3</v>
      </c>
    </row>
    <row r="135" spans="1:9" x14ac:dyDescent="0.2">
      <c r="A135" s="7" t="s">
        <v>134</v>
      </c>
      <c r="B135" s="9">
        <f t="shared" si="6"/>
        <v>776</v>
      </c>
      <c r="C135" s="8">
        <v>401</v>
      </c>
      <c r="D135" s="12">
        <f t="shared" si="7"/>
        <v>0.51675257731958768</v>
      </c>
      <c r="E135" s="8">
        <v>374</v>
      </c>
      <c r="F135" s="12">
        <f t="shared" si="8"/>
        <v>0.48195876288659795</v>
      </c>
      <c r="G135" s="8">
        <v>1</v>
      </c>
      <c r="H135" s="8">
        <v>0</v>
      </c>
      <c r="I135" s="8">
        <v>2</v>
      </c>
    </row>
    <row r="136" spans="1:9" x14ac:dyDescent="0.2">
      <c r="A136" s="7" t="s">
        <v>135</v>
      </c>
      <c r="B136" s="9">
        <f t="shared" si="6"/>
        <v>676</v>
      </c>
      <c r="C136" s="8">
        <v>332</v>
      </c>
      <c r="D136" s="12">
        <f t="shared" si="7"/>
        <v>0.4911242603550296</v>
      </c>
      <c r="E136" s="8">
        <v>344</v>
      </c>
      <c r="F136" s="12">
        <f t="shared" si="8"/>
        <v>0.50887573964497046</v>
      </c>
      <c r="G136" s="8">
        <v>0</v>
      </c>
      <c r="H136" s="8">
        <v>1</v>
      </c>
      <c r="I136" s="8">
        <v>2</v>
      </c>
    </row>
    <row r="137" spans="1:9" x14ac:dyDescent="0.2">
      <c r="A137" s="7" t="s">
        <v>136</v>
      </c>
      <c r="B137" s="9">
        <f t="shared" si="6"/>
        <v>437</v>
      </c>
      <c r="C137" s="8">
        <v>224</v>
      </c>
      <c r="D137" s="12">
        <f t="shared" si="7"/>
        <v>0.51258581235697942</v>
      </c>
      <c r="E137" s="8">
        <v>210</v>
      </c>
      <c r="F137" s="12">
        <f t="shared" si="8"/>
        <v>0.4805491990846682</v>
      </c>
      <c r="G137" s="8">
        <v>3</v>
      </c>
      <c r="H137" s="8">
        <v>2</v>
      </c>
      <c r="I137" s="8">
        <v>2</v>
      </c>
    </row>
    <row r="138" spans="1:9" x14ac:dyDescent="0.2">
      <c r="A138" s="7" t="s">
        <v>137</v>
      </c>
      <c r="B138" s="9">
        <f t="shared" si="6"/>
        <v>568</v>
      </c>
      <c r="C138" s="8">
        <v>296</v>
      </c>
      <c r="D138" s="12">
        <f t="shared" si="7"/>
        <v>0.52112676056338025</v>
      </c>
      <c r="E138" s="8">
        <v>269</v>
      </c>
      <c r="F138" s="12">
        <f t="shared" si="8"/>
        <v>0.47359154929577463</v>
      </c>
      <c r="G138" s="8">
        <v>3</v>
      </c>
      <c r="H138" s="8">
        <v>2</v>
      </c>
      <c r="I138" s="8">
        <v>2</v>
      </c>
    </row>
    <row r="139" spans="1:9" x14ac:dyDescent="0.2">
      <c r="A139" s="7" t="s">
        <v>138</v>
      </c>
      <c r="B139" s="9">
        <f t="shared" si="6"/>
        <v>618</v>
      </c>
      <c r="C139" s="8">
        <v>303</v>
      </c>
      <c r="D139" s="12">
        <f t="shared" si="7"/>
        <v>0.49029126213592233</v>
      </c>
      <c r="E139" s="8">
        <v>313</v>
      </c>
      <c r="F139" s="12">
        <f t="shared" si="8"/>
        <v>0.50647249190938515</v>
      </c>
      <c r="G139" s="8">
        <v>2</v>
      </c>
      <c r="H139" s="8">
        <v>3</v>
      </c>
      <c r="I139" s="8">
        <v>2</v>
      </c>
    </row>
    <row r="140" spans="1:9" x14ac:dyDescent="0.2">
      <c r="A140" s="7" t="s">
        <v>139</v>
      </c>
      <c r="B140" s="9">
        <f t="shared" si="6"/>
        <v>694</v>
      </c>
      <c r="C140" s="8">
        <v>282</v>
      </c>
      <c r="D140" s="12">
        <f t="shared" si="7"/>
        <v>0.40634005763688763</v>
      </c>
      <c r="E140" s="8">
        <v>411</v>
      </c>
      <c r="F140" s="12">
        <f t="shared" si="8"/>
        <v>0.59221902017291062</v>
      </c>
      <c r="G140" s="8">
        <v>1</v>
      </c>
      <c r="H140" s="8">
        <v>1</v>
      </c>
      <c r="I140" s="8">
        <v>0</v>
      </c>
    </row>
    <row r="141" spans="1:9" x14ac:dyDescent="0.2">
      <c r="A141" s="7" t="s">
        <v>140</v>
      </c>
      <c r="B141" s="9">
        <f t="shared" si="6"/>
        <v>600</v>
      </c>
      <c r="C141" s="8">
        <v>313</v>
      </c>
      <c r="D141" s="12">
        <f t="shared" si="7"/>
        <v>0.52166666666666661</v>
      </c>
      <c r="E141" s="8">
        <v>286</v>
      </c>
      <c r="F141" s="12">
        <f t="shared" si="8"/>
        <v>0.47666666666666668</v>
      </c>
      <c r="G141" s="8">
        <v>1</v>
      </c>
      <c r="H141" s="8">
        <v>2</v>
      </c>
      <c r="I141" s="8">
        <v>2</v>
      </c>
    </row>
    <row r="142" spans="1:9" x14ac:dyDescent="0.2">
      <c r="A142" s="7" t="s">
        <v>141</v>
      </c>
      <c r="B142" s="9">
        <f t="shared" si="6"/>
        <v>561</v>
      </c>
      <c r="C142" s="8">
        <v>321</v>
      </c>
      <c r="D142" s="12">
        <f t="shared" si="7"/>
        <v>0.57219251336898391</v>
      </c>
      <c r="E142" s="8">
        <v>238</v>
      </c>
      <c r="F142" s="12">
        <f t="shared" si="8"/>
        <v>0.42424242424242425</v>
      </c>
      <c r="G142" s="8">
        <v>2</v>
      </c>
      <c r="H142" s="8">
        <v>1</v>
      </c>
      <c r="I142" s="8">
        <v>1</v>
      </c>
    </row>
    <row r="143" spans="1:9" x14ac:dyDescent="0.2">
      <c r="A143" s="7" t="s">
        <v>142</v>
      </c>
      <c r="B143" s="9">
        <f t="shared" si="6"/>
        <v>681</v>
      </c>
      <c r="C143" s="8">
        <v>270</v>
      </c>
      <c r="D143" s="12">
        <f t="shared" si="7"/>
        <v>0.3964757709251101</v>
      </c>
      <c r="E143" s="8">
        <v>410</v>
      </c>
      <c r="F143" s="12">
        <f t="shared" si="8"/>
        <v>0.60205580029368577</v>
      </c>
      <c r="G143" s="8">
        <v>1</v>
      </c>
      <c r="H143" s="8">
        <v>2</v>
      </c>
      <c r="I143" s="8">
        <v>2</v>
      </c>
    </row>
    <row r="144" spans="1:9" x14ac:dyDescent="0.2">
      <c r="A144" s="7" t="s">
        <v>143</v>
      </c>
      <c r="B144" s="9">
        <f t="shared" si="6"/>
        <v>650</v>
      </c>
      <c r="C144" s="8">
        <v>284</v>
      </c>
      <c r="D144" s="12">
        <f t="shared" si="7"/>
        <v>0.43692307692307691</v>
      </c>
      <c r="E144" s="8">
        <v>364</v>
      </c>
      <c r="F144" s="12">
        <f t="shared" si="8"/>
        <v>0.56000000000000005</v>
      </c>
      <c r="G144" s="8">
        <v>2</v>
      </c>
      <c r="H144" s="8">
        <v>1</v>
      </c>
      <c r="I144" s="8">
        <v>0</v>
      </c>
    </row>
    <row r="145" spans="1:9" x14ac:dyDescent="0.2">
      <c r="A145" s="7" t="s">
        <v>144</v>
      </c>
      <c r="B145" s="9">
        <f t="shared" si="6"/>
        <v>624</v>
      </c>
      <c r="C145" s="8">
        <v>259</v>
      </c>
      <c r="D145" s="12">
        <f t="shared" si="7"/>
        <v>0.41506410256410259</v>
      </c>
      <c r="E145" s="8">
        <v>364</v>
      </c>
      <c r="F145" s="12">
        <f t="shared" si="8"/>
        <v>0.58333333333333337</v>
      </c>
      <c r="G145" s="8">
        <v>1</v>
      </c>
      <c r="H145" s="8">
        <v>0</v>
      </c>
      <c r="I145" s="8">
        <v>0</v>
      </c>
    </row>
    <row r="146" spans="1:9" x14ac:dyDescent="0.2">
      <c r="A146" s="7" t="s">
        <v>145</v>
      </c>
      <c r="B146" s="9">
        <f t="shared" si="6"/>
        <v>627</v>
      </c>
      <c r="C146" s="8">
        <v>229</v>
      </c>
      <c r="D146" s="12">
        <f t="shared" si="7"/>
        <v>0.36523125996810207</v>
      </c>
      <c r="E146" s="8">
        <v>395</v>
      </c>
      <c r="F146" s="12">
        <f t="shared" si="8"/>
        <v>0.62998405103668265</v>
      </c>
      <c r="G146" s="8">
        <v>3</v>
      </c>
      <c r="H146" s="8">
        <v>0</v>
      </c>
      <c r="I146" s="8">
        <v>1</v>
      </c>
    </row>
    <row r="147" spans="1:9" x14ac:dyDescent="0.2">
      <c r="A147" s="7" t="s">
        <v>146</v>
      </c>
      <c r="B147" s="9">
        <f t="shared" si="6"/>
        <v>498</v>
      </c>
      <c r="C147" s="8">
        <v>230</v>
      </c>
      <c r="D147" s="12">
        <f t="shared" si="7"/>
        <v>0.46184738955823296</v>
      </c>
      <c r="E147" s="8">
        <v>266</v>
      </c>
      <c r="F147" s="12">
        <f t="shared" si="8"/>
        <v>0.53413654618473894</v>
      </c>
      <c r="G147" s="8">
        <v>2</v>
      </c>
      <c r="H147" s="8">
        <v>0</v>
      </c>
      <c r="I147" s="8">
        <v>1</v>
      </c>
    </row>
    <row r="148" spans="1:9" x14ac:dyDescent="0.2">
      <c r="A148" s="7" t="s">
        <v>147</v>
      </c>
      <c r="B148" s="9">
        <f t="shared" si="6"/>
        <v>747</v>
      </c>
      <c r="C148" s="8">
        <v>251</v>
      </c>
      <c r="D148" s="12">
        <f t="shared" si="7"/>
        <v>0.33601070950468542</v>
      </c>
      <c r="E148" s="8">
        <v>495</v>
      </c>
      <c r="F148" s="12">
        <f t="shared" si="8"/>
        <v>0.66265060240963858</v>
      </c>
      <c r="G148" s="8">
        <v>1</v>
      </c>
      <c r="H148" s="8">
        <v>2</v>
      </c>
      <c r="I148" s="8">
        <v>1</v>
      </c>
    </row>
    <row r="149" spans="1:9" x14ac:dyDescent="0.2">
      <c r="A149" s="7" t="s">
        <v>148</v>
      </c>
      <c r="B149" s="9">
        <f t="shared" si="6"/>
        <v>414</v>
      </c>
      <c r="C149" s="8">
        <v>162</v>
      </c>
      <c r="D149" s="12">
        <f t="shared" si="7"/>
        <v>0.39130434782608697</v>
      </c>
      <c r="E149" s="8">
        <v>252</v>
      </c>
      <c r="F149" s="12">
        <f t="shared" si="8"/>
        <v>0.60869565217391308</v>
      </c>
      <c r="G149" s="8">
        <v>0</v>
      </c>
      <c r="H149" s="8">
        <v>1</v>
      </c>
      <c r="I149" s="8">
        <v>0</v>
      </c>
    </row>
    <row r="150" spans="1:9" x14ac:dyDescent="0.2">
      <c r="A150" s="7" t="s">
        <v>149</v>
      </c>
      <c r="B150" s="9">
        <f t="shared" si="6"/>
        <v>360</v>
      </c>
      <c r="C150" s="8">
        <v>170</v>
      </c>
      <c r="D150" s="12">
        <f t="shared" si="7"/>
        <v>0.47222222222222221</v>
      </c>
      <c r="E150" s="8">
        <v>189</v>
      </c>
      <c r="F150" s="12">
        <f t="shared" si="8"/>
        <v>0.52500000000000002</v>
      </c>
      <c r="G150" s="8">
        <v>1</v>
      </c>
      <c r="H150" s="8">
        <v>0</v>
      </c>
      <c r="I150" s="8">
        <v>3</v>
      </c>
    </row>
    <row r="151" spans="1:9" x14ac:dyDescent="0.2">
      <c r="A151" s="7" t="s">
        <v>150</v>
      </c>
      <c r="B151" s="9">
        <f t="shared" si="6"/>
        <v>157</v>
      </c>
      <c r="C151" s="8">
        <v>65</v>
      </c>
      <c r="D151" s="12">
        <f t="shared" si="7"/>
        <v>0.4140127388535032</v>
      </c>
      <c r="E151" s="8">
        <v>92</v>
      </c>
      <c r="F151" s="12">
        <f t="shared" si="8"/>
        <v>0.5859872611464968</v>
      </c>
      <c r="G151" s="8">
        <v>0</v>
      </c>
      <c r="H151" s="8">
        <v>0</v>
      </c>
      <c r="I151" s="8">
        <v>0</v>
      </c>
    </row>
    <row r="152" spans="1:9" x14ac:dyDescent="0.2">
      <c r="A152" s="7" t="s">
        <v>151</v>
      </c>
      <c r="B152" s="9">
        <f t="shared" si="6"/>
        <v>454</v>
      </c>
      <c r="C152" s="8">
        <v>198</v>
      </c>
      <c r="D152" s="12">
        <f t="shared" si="7"/>
        <v>0.43612334801762115</v>
      </c>
      <c r="E152" s="8">
        <v>256</v>
      </c>
      <c r="F152" s="12">
        <f t="shared" si="8"/>
        <v>0.56387665198237891</v>
      </c>
      <c r="G152" s="8">
        <v>0</v>
      </c>
      <c r="H152" s="8">
        <v>1</v>
      </c>
      <c r="I152" s="8">
        <v>3</v>
      </c>
    </row>
    <row r="153" spans="1:9" x14ac:dyDescent="0.2">
      <c r="A153" s="7" t="s">
        <v>152</v>
      </c>
      <c r="B153" s="9">
        <f t="shared" si="6"/>
        <v>236</v>
      </c>
      <c r="C153" s="8">
        <v>90</v>
      </c>
      <c r="D153" s="12">
        <f t="shared" si="7"/>
        <v>0.38135593220338981</v>
      </c>
      <c r="E153" s="8">
        <v>145</v>
      </c>
      <c r="F153" s="12">
        <f t="shared" si="8"/>
        <v>0.61440677966101698</v>
      </c>
      <c r="G153" s="8">
        <v>1</v>
      </c>
      <c r="H153" s="8">
        <v>0</v>
      </c>
      <c r="I153" s="8">
        <v>1</v>
      </c>
    </row>
    <row r="154" spans="1:9" x14ac:dyDescent="0.2">
      <c r="A154" s="7" t="s">
        <v>153</v>
      </c>
      <c r="B154" s="9">
        <f t="shared" si="6"/>
        <v>552</v>
      </c>
      <c r="C154" s="8">
        <v>197</v>
      </c>
      <c r="D154" s="12">
        <f t="shared" si="7"/>
        <v>0.35688405797101447</v>
      </c>
      <c r="E154" s="8">
        <v>354</v>
      </c>
      <c r="F154" s="12">
        <f t="shared" si="8"/>
        <v>0.64130434782608692</v>
      </c>
      <c r="G154" s="8">
        <v>1</v>
      </c>
      <c r="H154" s="8">
        <v>0</v>
      </c>
      <c r="I154" s="8">
        <v>1</v>
      </c>
    </row>
    <row r="155" spans="1:9" x14ac:dyDescent="0.2">
      <c r="A155" s="7" t="s">
        <v>154</v>
      </c>
      <c r="B155" s="9">
        <f t="shared" si="6"/>
        <v>407</v>
      </c>
      <c r="C155" s="8">
        <v>218</v>
      </c>
      <c r="D155" s="12">
        <f t="shared" si="7"/>
        <v>0.53562653562653562</v>
      </c>
      <c r="E155" s="8">
        <v>185</v>
      </c>
      <c r="F155" s="12">
        <f t="shared" si="8"/>
        <v>0.45454545454545453</v>
      </c>
      <c r="G155" s="8">
        <v>4</v>
      </c>
      <c r="H155" s="8">
        <v>1</v>
      </c>
      <c r="I155" s="8">
        <v>3</v>
      </c>
    </row>
    <row r="156" spans="1:9" x14ac:dyDescent="0.2">
      <c r="A156" s="7" t="s">
        <v>155</v>
      </c>
      <c r="B156" s="9">
        <f t="shared" si="6"/>
        <v>523</v>
      </c>
      <c r="C156" s="8">
        <v>205</v>
      </c>
      <c r="D156" s="12">
        <f t="shared" si="7"/>
        <v>0.39196940726577439</v>
      </c>
      <c r="E156" s="8">
        <v>317</v>
      </c>
      <c r="F156" s="12">
        <f t="shared" si="8"/>
        <v>0.60611854684512423</v>
      </c>
      <c r="G156" s="8">
        <v>1</v>
      </c>
      <c r="H156" s="8">
        <v>0</v>
      </c>
      <c r="I156" s="8">
        <v>2</v>
      </c>
    </row>
    <row r="157" spans="1:9" x14ac:dyDescent="0.2">
      <c r="A157" s="7" t="s">
        <v>156</v>
      </c>
      <c r="B157" s="9">
        <f t="shared" si="6"/>
        <v>598</v>
      </c>
      <c r="C157" s="8">
        <v>358</v>
      </c>
      <c r="D157" s="12">
        <f t="shared" si="7"/>
        <v>0.59866220735785958</v>
      </c>
      <c r="E157" s="8">
        <v>236</v>
      </c>
      <c r="F157" s="12">
        <f t="shared" si="8"/>
        <v>0.39464882943143814</v>
      </c>
      <c r="G157" s="8">
        <v>4</v>
      </c>
      <c r="H157" s="8">
        <v>2</v>
      </c>
      <c r="I157" s="8">
        <v>0</v>
      </c>
    </row>
    <row r="158" spans="1:9" x14ac:dyDescent="0.2">
      <c r="A158" s="7" t="s">
        <v>157</v>
      </c>
      <c r="B158" s="9">
        <f t="shared" si="6"/>
        <v>356</v>
      </c>
      <c r="C158" s="8">
        <v>223</v>
      </c>
      <c r="D158" s="12">
        <f t="shared" si="7"/>
        <v>0.6264044943820225</v>
      </c>
      <c r="E158" s="8">
        <v>133</v>
      </c>
      <c r="F158" s="12">
        <f t="shared" si="8"/>
        <v>0.37359550561797755</v>
      </c>
      <c r="G158" s="8">
        <v>0</v>
      </c>
      <c r="H158" s="8">
        <v>0</v>
      </c>
      <c r="I158" s="8">
        <v>0</v>
      </c>
    </row>
    <row r="159" spans="1:9" x14ac:dyDescent="0.2">
      <c r="A159" s="7" t="s">
        <v>158</v>
      </c>
      <c r="B159" s="9">
        <f t="shared" si="6"/>
        <v>502</v>
      </c>
      <c r="C159" s="8">
        <v>320</v>
      </c>
      <c r="D159" s="12">
        <f t="shared" si="7"/>
        <v>0.63745019920318724</v>
      </c>
      <c r="E159" s="8">
        <v>180</v>
      </c>
      <c r="F159" s="12">
        <f t="shared" si="8"/>
        <v>0.35856573705179284</v>
      </c>
      <c r="G159" s="8">
        <v>2</v>
      </c>
      <c r="H159" s="8">
        <v>0</v>
      </c>
      <c r="I159" s="8">
        <v>1</v>
      </c>
    </row>
    <row r="160" spans="1:9" x14ac:dyDescent="0.2">
      <c r="A160" s="7" t="s">
        <v>159</v>
      </c>
      <c r="B160" s="9">
        <f t="shared" si="6"/>
        <v>420</v>
      </c>
      <c r="C160" s="8">
        <v>253</v>
      </c>
      <c r="D160" s="12">
        <f t="shared" si="7"/>
        <v>0.60238095238095235</v>
      </c>
      <c r="E160" s="8">
        <v>167</v>
      </c>
      <c r="F160" s="12">
        <f t="shared" si="8"/>
        <v>0.39761904761904759</v>
      </c>
      <c r="G160" s="8">
        <v>0</v>
      </c>
      <c r="H160" s="8">
        <v>2</v>
      </c>
      <c r="I160" s="8">
        <v>1</v>
      </c>
    </row>
    <row r="161" spans="1:9" x14ac:dyDescent="0.2">
      <c r="A161" s="7" t="s">
        <v>160</v>
      </c>
      <c r="B161" s="9">
        <f t="shared" si="6"/>
        <v>314</v>
      </c>
      <c r="C161" s="8">
        <v>196</v>
      </c>
      <c r="D161" s="12">
        <f t="shared" si="7"/>
        <v>0.62420382165605093</v>
      </c>
      <c r="E161" s="8">
        <v>118</v>
      </c>
      <c r="F161" s="12">
        <f t="shared" si="8"/>
        <v>0.37579617834394907</v>
      </c>
      <c r="G161" s="8">
        <v>0</v>
      </c>
      <c r="H161" s="8">
        <v>0</v>
      </c>
      <c r="I161" s="8">
        <v>1</v>
      </c>
    </row>
    <row r="162" spans="1:9" x14ac:dyDescent="0.2">
      <c r="A162" s="7" t="s">
        <v>161</v>
      </c>
      <c r="B162" s="9">
        <f t="shared" si="6"/>
        <v>675</v>
      </c>
      <c r="C162" s="8">
        <v>376</v>
      </c>
      <c r="D162" s="12">
        <f t="shared" si="7"/>
        <v>0.557037037037037</v>
      </c>
      <c r="E162" s="8">
        <v>299</v>
      </c>
      <c r="F162" s="12">
        <f t="shared" si="8"/>
        <v>0.44296296296296295</v>
      </c>
      <c r="G162" s="8">
        <v>0</v>
      </c>
      <c r="H162" s="8">
        <v>0</v>
      </c>
      <c r="I162" s="8">
        <v>2</v>
      </c>
    </row>
    <row r="163" spans="1:9" x14ac:dyDescent="0.2">
      <c r="A163" s="7" t="s">
        <v>162</v>
      </c>
      <c r="B163" s="9">
        <f t="shared" si="6"/>
        <v>274</v>
      </c>
      <c r="C163" s="8">
        <v>165</v>
      </c>
      <c r="D163" s="12">
        <f t="shared" si="7"/>
        <v>0.6021897810218978</v>
      </c>
      <c r="E163" s="8">
        <v>108</v>
      </c>
      <c r="F163" s="12">
        <f t="shared" si="8"/>
        <v>0.39416058394160586</v>
      </c>
      <c r="G163" s="8">
        <v>1</v>
      </c>
      <c r="H163" s="8">
        <v>1</v>
      </c>
      <c r="I163" s="8">
        <v>0</v>
      </c>
    </row>
    <row r="164" spans="1:9" x14ac:dyDescent="0.2">
      <c r="A164" s="7" t="s">
        <v>163</v>
      </c>
      <c r="B164" s="9">
        <f t="shared" si="6"/>
        <v>395</v>
      </c>
      <c r="C164" s="8">
        <v>231</v>
      </c>
      <c r="D164" s="12">
        <f t="shared" si="7"/>
        <v>0.58481012658227849</v>
      </c>
      <c r="E164" s="8">
        <v>163</v>
      </c>
      <c r="F164" s="12">
        <f t="shared" si="8"/>
        <v>0.41265822784810124</v>
      </c>
      <c r="G164" s="8">
        <v>1</v>
      </c>
      <c r="H164" s="8">
        <v>0</v>
      </c>
      <c r="I164" s="8">
        <v>0</v>
      </c>
    </row>
    <row r="165" spans="1:9" x14ac:dyDescent="0.2">
      <c r="A165" s="7" t="s">
        <v>164</v>
      </c>
      <c r="B165" s="9">
        <f t="shared" si="6"/>
        <v>507</v>
      </c>
      <c r="C165" s="8">
        <v>291</v>
      </c>
      <c r="D165" s="12">
        <f t="shared" si="7"/>
        <v>0.57396449704142016</v>
      </c>
      <c r="E165" s="8">
        <v>214</v>
      </c>
      <c r="F165" s="12">
        <f t="shared" si="8"/>
        <v>0.42209072978303747</v>
      </c>
      <c r="G165" s="8">
        <v>2</v>
      </c>
      <c r="H165" s="8">
        <v>0</v>
      </c>
      <c r="I165" s="8">
        <v>0</v>
      </c>
    </row>
    <row r="166" spans="1:9" x14ac:dyDescent="0.2">
      <c r="A166" s="7" t="s">
        <v>165</v>
      </c>
      <c r="B166" s="9">
        <f t="shared" si="6"/>
        <v>766</v>
      </c>
      <c r="C166" s="8">
        <v>359</v>
      </c>
      <c r="D166" s="12">
        <f t="shared" si="7"/>
        <v>0.46866840731070497</v>
      </c>
      <c r="E166" s="8">
        <v>404</v>
      </c>
      <c r="F166" s="12">
        <f t="shared" si="8"/>
        <v>0.52741514360313313</v>
      </c>
      <c r="G166" s="8">
        <v>3</v>
      </c>
      <c r="H166" s="8">
        <v>0</v>
      </c>
      <c r="I166" s="8">
        <v>1</v>
      </c>
    </row>
    <row r="167" spans="1:9" x14ac:dyDescent="0.2">
      <c r="A167" s="7" t="s">
        <v>166</v>
      </c>
      <c r="B167" s="9">
        <f t="shared" si="6"/>
        <v>770</v>
      </c>
      <c r="C167" s="8">
        <v>358</v>
      </c>
      <c r="D167" s="12">
        <f t="shared" si="7"/>
        <v>0.46493506493506492</v>
      </c>
      <c r="E167" s="8">
        <v>411</v>
      </c>
      <c r="F167" s="12">
        <f t="shared" si="8"/>
        <v>0.53376623376623378</v>
      </c>
      <c r="G167" s="8">
        <v>1</v>
      </c>
      <c r="H167" s="8">
        <v>0</v>
      </c>
      <c r="I167" s="8">
        <v>2</v>
      </c>
    </row>
    <row r="168" spans="1:9" x14ac:dyDescent="0.2">
      <c r="A168" s="7" t="s">
        <v>167</v>
      </c>
      <c r="B168" s="9">
        <f t="shared" si="6"/>
        <v>661</v>
      </c>
      <c r="C168" s="8">
        <v>345</v>
      </c>
      <c r="D168" s="12">
        <f t="shared" si="7"/>
        <v>0.52193645990922843</v>
      </c>
      <c r="E168" s="8">
        <v>314</v>
      </c>
      <c r="F168" s="12">
        <f t="shared" si="8"/>
        <v>0.4750378214826021</v>
      </c>
      <c r="G168" s="8">
        <v>2</v>
      </c>
      <c r="H168" s="8">
        <v>1</v>
      </c>
      <c r="I168" s="8">
        <v>23</v>
      </c>
    </row>
    <row r="169" spans="1:9" x14ac:dyDescent="0.2">
      <c r="A169" s="7" t="s">
        <v>168</v>
      </c>
      <c r="B169" s="9">
        <f t="shared" si="6"/>
        <v>490</v>
      </c>
      <c r="C169" s="8">
        <v>258</v>
      </c>
      <c r="D169" s="12">
        <f t="shared" si="7"/>
        <v>0.52653061224489794</v>
      </c>
      <c r="E169" s="8">
        <v>227</v>
      </c>
      <c r="F169" s="12">
        <f t="shared" si="8"/>
        <v>0.46326530612244898</v>
      </c>
      <c r="G169" s="8">
        <v>5</v>
      </c>
      <c r="H169" s="8">
        <v>2</v>
      </c>
      <c r="I169" s="8">
        <v>1</v>
      </c>
    </row>
    <row r="170" spans="1:9" x14ac:dyDescent="0.2">
      <c r="A170" s="7" t="s">
        <v>169</v>
      </c>
      <c r="B170" s="9">
        <f t="shared" si="6"/>
        <v>394</v>
      </c>
      <c r="C170" s="8">
        <v>173</v>
      </c>
      <c r="D170" s="12">
        <f t="shared" si="7"/>
        <v>0.43908629441624364</v>
      </c>
      <c r="E170" s="8">
        <v>219</v>
      </c>
      <c r="F170" s="12">
        <f t="shared" si="8"/>
        <v>0.5558375634517766</v>
      </c>
      <c r="G170" s="8">
        <v>2</v>
      </c>
      <c r="H170" s="8">
        <v>0</v>
      </c>
      <c r="I170" s="8">
        <v>0</v>
      </c>
    </row>
    <row r="171" spans="1:9" x14ac:dyDescent="0.2">
      <c r="A171" s="7" t="s">
        <v>170</v>
      </c>
      <c r="B171" s="9">
        <f t="shared" si="6"/>
        <v>341</v>
      </c>
      <c r="C171" s="8">
        <v>129</v>
      </c>
      <c r="D171" s="12">
        <f t="shared" si="7"/>
        <v>0.3782991202346041</v>
      </c>
      <c r="E171" s="8">
        <v>212</v>
      </c>
      <c r="F171" s="12">
        <f t="shared" si="8"/>
        <v>0.6217008797653959</v>
      </c>
      <c r="G171" s="8">
        <v>0</v>
      </c>
      <c r="H171" s="8">
        <v>1</v>
      </c>
      <c r="I171" s="8">
        <v>0</v>
      </c>
    </row>
    <row r="172" spans="1:9" x14ac:dyDescent="0.2">
      <c r="A172" s="7" t="s">
        <v>171</v>
      </c>
      <c r="B172" s="9">
        <f t="shared" si="6"/>
        <v>351</v>
      </c>
      <c r="C172" s="8">
        <v>230</v>
      </c>
      <c r="D172" s="12">
        <f t="shared" si="7"/>
        <v>0.65527065527065531</v>
      </c>
      <c r="E172" s="8">
        <v>121</v>
      </c>
      <c r="F172" s="12">
        <f t="shared" si="8"/>
        <v>0.34472934472934474</v>
      </c>
      <c r="G172" s="8">
        <v>0</v>
      </c>
      <c r="H172" s="8">
        <v>1</v>
      </c>
      <c r="I172" s="8">
        <v>1</v>
      </c>
    </row>
    <row r="173" spans="1:9" x14ac:dyDescent="0.2">
      <c r="A173" s="7" t="s">
        <v>172</v>
      </c>
      <c r="B173" s="9">
        <f t="shared" si="6"/>
        <v>634</v>
      </c>
      <c r="C173" s="8">
        <v>332</v>
      </c>
      <c r="D173" s="12">
        <f t="shared" si="7"/>
        <v>0.52365930599369082</v>
      </c>
      <c r="E173" s="8">
        <v>302</v>
      </c>
      <c r="F173" s="12">
        <f t="shared" si="8"/>
        <v>0.47634069400630913</v>
      </c>
      <c r="G173" s="8">
        <v>0</v>
      </c>
      <c r="H173" s="8">
        <v>1</v>
      </c>
      <c r="I173" s="8">
        <v>2</v>
      </c>
    </row>
    <row r="174" spans="1:9" x14ac:dyDescent="0.2">
      <c r="A174" s="7" t="s">
        <v>173</v>
      </c>
      <c r="B174" s="9">
        <f t="shared" si="6"/>
        <v>605</v>
      </c>
      <c r="C174" s="8">
        <v>290</v>
      </c>
      <c r="D174" s="12">
        <f t="shared" si="7"/>
        <v>0.47933884297520662</v>
      </c>
      <c r="E174" s="8">
        <v>315</v>
      </c>
      <c r="F174" s="12">
        <f t="shared" si="8"/>
        <v>0.52066115702479343</v>
      </c>
      <c r="G174" s="8">
        <v>0</v>
      </c>
      <c r="H174" s="8">
        <v>0</v>
      </c>
      <c r="I174" s="8">
        <v>1</v>
      </c>
    </row>
    <row r="175" spans="1:9" x14ac:dyDescent="0.2">
      <c r="A175" s="7" t="s">
        <v>174</v>
      </c>
      <c r="B175" s="9">
        <f t="shared" si="6"/>
        <v>488</v>
      </c>
      <c r="C175" s="8">
        <v>181</v>
      </c>
      <c r="D175" s="12">
        <f t="shared" si="7"/>
        <v>0.37090163934426229</v>
      </c>
      <c r="E175" s="8">
        <v>307</v>
      </c>
      <c r="F175" s="12">
        <f t="shared" si="8"/>
        <v>0.62909836065573765</v>
      </c>
      <c r="G175" s="8">
        <v>0</v>
      </c>
      <c r="H175" s="8">
        <v>0</v>
      </c>
      <c r="I175" s="8">
        <v>5</v>
      </c>
    </row>
    <row r="176" spans="1:9" x14ac:dyDescent="0.2">
      <c r="A176" s="7" t="s">
        <v>175</v>
      </c>
      <c r="B176" s="9">
        <f t="shared" si="6"/>
        <v>658</v>
      </c>
      <c r="C176" s="8">
        <v>293</v>
      </c>
      <c r="D176" s="12">
        <f t="shared" si="7"/>
        <v>0.44528875379939209</v>
      </c>
      <c r="E176" s="8">
        <v>364</v>
      </c>
      <c r="F176" s="12">
        <f t="shared" si="8"/>
        <v>0.55319148936170215</v>
      </c>
      <c r="G176" s="8">
        <v>1</v>
      </c>
      <c r="H176" s="8">
        <v>4</v>
      </c>
      <c r="I176" s="8">
        <v>4</v>
      </c>
    </row>
    <row r="177" spans="1:9" x14ac:dyDescent="0.2">
      <c r="A177" s="7" t="s">
        <v>176</v>
      </c>
      <c r="B177" s="9">
        <f t="shared" si="6"/>
        <v>668</v>
      </c>
      <c r="C177" s="8">
        <v>331</v>
      </c>
      <c r="D177" s="12">
        <f t="shared" si="7"/>
        <v>0.49550898203592814</v>
      </c>
      <c r="E177" s="8">
        <v>334</v>
      </c>
      <c r="F177" s="12">
        <f t="shared" si="8"/>
        <v>0.5</v>
      </c>
      <c r="G177" s="8">
        <v>3</v>
      </c>
      <c r="H177" s="8">
        <v>1</v>
      </c>
      <c r="I177" s="8">
        <v>2</v>
      </c>
    </row>
    <row r="178" spans="1:9" x14ac:dyDescent="0.2">
      <c r="A178" s="7" t="s">
        <v>177</v>
      </c>
      <c r="B178" s="9">
        <f t="shared" si="6"/>
        <v>603</v>
      </c>
      <c r="C178" s="8">
        <v>229</v>
      </c>
      <c r="D178" s="12">
        <f t="shared" si="7"/>
        <v>0.37976782752902155</v>
      </c>
      <c r="E178" s="8">
        <v>373</v>
      </c>
      <c r="F178" s="12">
        <f t="shared" si="8"/>
        <v>0.61857379767827525</v>
      </c>
      <c r="G178" s="8">
        <v>1</v>
      </c>
      <c r="H178" s="8">
        <v>0</v>
      </c>
      <c r="I178" s="8">
        <v>2</v>
      </c>
    </row>
    <row r="179" spans="1:9" x14ac:dyDescent="0.2">
      <c r="A179" s="7" t="s">
        <v>178</v>
      </c>
      <c r="B179" s="9">
        <f t="shared" si="6"/>
        <v>608</v>
      </c>
      <c r="C179" s="8">
        <v>246</v>
      </c>
      <c r="D179" s="12">
        <f t="shared" si="7"/>
        <v>0.40460526315789475</v>
      </c>
      <c r="E179" s="8">
        <v>361</v>
      </c>
      <c r="F179" s="12">
        <f t="shared" si="8"/>
        <v>0.59375</v>
      </c>
      <c r="G179" s="8">
        <v>1</v>
      </c>
      <c r="H179" s="8">
        <v>0</v>
      </c>
      <c r="I179" s="8">
        <v>2</v>
      </c>
    </row>
    <row r="180" spans="1:9" x14ac:dyDescent="0.2">
      <c r="A180" s="7" t="s">
        <v>179</v>
      </c>
      <c r="B180" s="9">
        <f t="shared" si="6"/>
        <v>156</v>
      </c>
      <c r="C180" s="8">
        <v>73</v>
      </c>
      <c r="D180" s="12">
        <f t="shared" si="7"/>
        <v>0.46794871794871795</v>
      </c>
      <c r="E180" s="8">
        <v>83</v>
      </c>
      <c r="F180" s="12">
        <f t="shared" si="8"/>
        <v>0.53205128205128205</v>
      </c>
      <c r="G180" s="8">
        <v>0</v>
      </c>
      <c r="H180" s="8">
        <v>0</v>
      </c>
      <c r="I180" s="8">
        <v>1</v>
      </c>
    </row>
    <row r="181" spans="1:9" x14ac:dyDescent="0.2">
      <c r="A181" s="7" t="s">
        <v>180</v>
      </c>
      <c r="B181" s="9">
        <f t="shared" si="6"/>
        <v>249</v>
      </c>
      <c r="C181" s="8">
        <v>164</v>
      </c>
      <c r="D181" s="12">
        <f t="shared" si="7"/>
        <v>0.65863453815261042</v>
      </c>
      <c r="E181" s="8">
        <v>85</v>
      </c>
      <c r="F181" s="12">
        <f t="shared" si="8"/>
        <v>0.34136546184738958</v>
      </c>
      <c r="G181" s="8">
        <v>0</v>
      </c>
      <c r="H181" s="8">
        <v>0</v>
      </c>
      <c r="I181" s="8">
        <v>0</v>
      </c>
    </row>
    <row r="182" spans="1:9" x14ac:dyDescent="0.2">
      <c r="A182" s="7" t="s">
        <v>181</v>
      </c>
      <c r="B182" s="9">
        <f t="shared" si="6"/>
        <v>222</v>
      </c>
      <c r="C182" s="8">
        <v>157</v>
      </c>
      <c r="D182" s="12">
        <f t="shared" si="7"/>
        <v>0.7072072072072072</v>
      </c>
      <c r="E182" s="8">
        <v>65</v>
      </c>
      <c r="F182" s="12">
        <f t="shared" si="8"/>
        <v>0.2927927927927928</v>
      </c>
      <c r="G182" s="8">
        <v>0</v>
      </c>
      <c r="H182" s="8">
        <v>0</v>
      </c>
      <c r="I182" s="8">
        <v>0</v>
      </c>
    </row>
    <row r="183" spans="1:9" x14ac:dyDescent="0.2">
      <c r="A183" s="7" t="s">
        <v>182</v>
      </c>
      <c r="B183" s="9">
        <f t="shared" si="6"/>
        <v>487</v>
      </c>
      <c r="C183" s="8">
        <v>291</v>
      </c>
      <c r="D183" s="12">
        <f t="shared" si="7"/>
        <v>0.59753593429158114</v>
      </c>
      <c r="E183" s="8">
        <v>196</v>
      </c>
      <c r="F183" s="12">
        <f t="shared" si="8"/>
        <v>0.40246406570841892</v>
      </c>
      <c r="G183" s="8">
        <v>0</v>
      </c>
      <c r="H183" s="8">
        <v>0</v>
      </c>
      <c r="I183" s="8">
        <v>3</v>
      </c>
    </row>
    <row r="184" spans="1:9" x14ac:dyDescent="0.2">
      <c r="A184" s="7" t="s">
        <v>183</v>
      </c>
      <c r="B184" s="9">
        <f t="shared" si="6"/>
        <v>840</v>
      </c>
      <c r="C184" s="8">
        <v>332</v>
      </c>
      <c r="D184" s="12">
        <f t="shared" si="7"/>
        <v>0.39523809523809522</v>
      </c>
      <c r="E184" s="8">
        <v>506</v>
      </c>
      <c r="F184" s="12">
        <f t="shared" si="8"/>
        <v>0.60238095238095235</v>
      </c>
      <c r="G184" s="8">
        <v>2</v>
      </c>
      <c r="H184" s="8">
        <v>1</v>
      </c>
      <c r="I184" s="8">
        <v>2</v>
      </c>
    </row>
    <row r="185" spans="1:9" x14ac:dyDescent="0.2">
      <c r="A185" s="7" t="s">
        <v>184</v>
      </c>
      <c r="B185" s="9">
        <f t="shared" si="6"/>
        <v>651</v>
      </c>
      <c r="C185" s="8">
        <v>222</v>
      </c>
      <c r="D185" s="12">
        <f t="shared" si="7"/>
        <v>0.34101382488479265</v>
      </c>
      <c r="E185" s="8">
        <v>426</v>
      </c>
      <c r="F185" s="12">
        <f t="shared" si="8"/>
        <v>0.65437788018433185</v>
      </c>
      <c r="G185" s="8">
        <v>3</v>
      </c>
      <c r="H185" s="8">
        <v>1</v>
      </c>
      <c r="I185" s="8">
        <v>4</v>
      </c>
    </row>
    <row r="186" spans="1:9" x14ac:dyDescent="0.2">
      <c r="A186" s="7" t="s">
        <v>185</v>
      </c>
      <c r="B186" s="9">
        <f t="shared" si="6"/>
        <v>770</v>
      </c>
      <c r="C186" s="8">
        <v>381</v>
      </c>
      <c r="D186" s="12">
        <f t="shared" si="7"/>
        <v>0.4948051948051948</v>
      </c>
      <c r="E186" s="8">
        <v>387</v>
      </c>
      <c r="F186" s="12">
        <f t="shared" si="8"/>
        <v>0.5025974025974026</v>
      </c>
      <c r="G186" s="8">
        <v>2</v>
      </c>
      <c r="H186" s="8">
        <v>2</v>
      </c>
      <c r="I186" s="8">
        <v>4</v>
      </c>
    </row>
    <row r="187" spans="1:9" x14ac:dyDescent="0.2">
      <c r="A187" s="7" t="s">
        <v>186</v>
      </c>
      <c r="B187" s="9">
        <f t="shared" si="6"/>
        <v>665</v>
      </c>
      <c r="C187" s="8">
        <v>320</v>
      </c>
      <c r="D187" s="12">
        <f t="shared" si="7"/>
        <v>0.48120300751879697</v>
      </c>
      <c r="E187" s="8">
        <v>342</v>
      </c>
      <c r="F187" s="12">
        <f t="shared" si="8"/>
        <v>0.51428571428571423</v>
      </c>
      <c r="G187" s="8">
        <v>3</v>
      </c>
      <c r="H187" s="8">
        <v>0</v>
      </c>
      <c r="I187" s="8">
        <v>1</v>
      </c>
    </row>
    <row r="188" spans="1:9" x14ac:dyDescent="0.2">
      <c r="A188" s="14" t="s">
        <v>187</v>
      </c>
      <c r="B188" s="15">
        <f>SUM(B3:B187)</f>
        <v>94469</v>
      </c>
      <c r="C188" s="15">
        <f>SUM(C3:C187)</f>
        <v>53671</v>
      </c>
      <c r="D188" s="16">
        <f t="shared" si="7"/>
        <v>0.56813346177052793</v>
      </c>
      <c r="E188" s="15">
        <f>SUM(E3:E187)</f>
        <v>40531</v>
      </c>
      <c r="F188" s="16">
        <f t="shared" si="8"/>
        <v>0.4290402142501773</v>
      </c>
      <c r="G188" s="15">
        <f>SUM(G3:G187)</f>
        <v>267</v>
      </c>
      <c r="H188" s="15">
        <f>SUM(H3:H187)</f>
        <v>100</v>
      </c>
      <c r="I188" s="15">
        <f>SUM(I3:I187)</f>
        <v>252</v>
      </c>
    </row>
  </sheetData>
  <mergeCells count="1">
    <mergeCell ref="A1:I1"/>
  </mergeCells>
  <pageMargins left="0.7" right="0.7" top="0.75" bottom="0.75" header="0.3" footer="0.3"/>
  <ignoredErrors>
    <ignoredError sqref="A156" twoDigitTextYear="1"/>
    <ignoredError sqref="D188 F18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692B-2398-4BCE-BD73-D211575AF481}">
  <dimension ref="A2:N14"/>
  <sheetViews>
    <sheetView tabSelected="1" workbookViewId="0">
      <selection activeCell="F28" sqref="F28"/>
    </sheetView>
  </sheetViews>
  <sheetFormatPr baseColWidth="10" defaultRowHeight="15" x14ac:dyDescent="0.25"/>
  <sheetData>
    <row r="2" spans="1:14" x14ac:dyDescent="0.25">
      <c r="A2" t="s">
        <v>209</v>
      </c>
    </row>
    <row r="3" spans="1:14" ht="27" thickBot="1" x14ac:dyDescent="0.3">
      <c r="A3" s="20" t="s">
        <v>195</v>
      </c>
      <c r="B3" s="20" t="s">
        <v>196</v>
      </c>
      <c r="C3" s="20" t="s">
        <v>197</v>
      </c>
      <c r="D3" s="20" t="s">
        <v>198</v>
      </c>
      <c r="E3" s="20" t="s">
        <v>199</v>
      </c>
      <c r="F3" s="20" t="s">
        <v>200</v>
      </c>
      <c r="G3" s="20" t="s">
        <v>201</v>
      </c>
      <c r="H3" s="20" t="s">
        <v>202</v>
      </c>
      <c r="I3" s="20" t="s">
        <v>203</v>
      </c>
      <c r="J3" s="20" t="s">
        <v>204</v>
      </c>
      <c r="K3" s="20" t="s">
        <v>205</v>
      </c>
      <c r="L3" s="20" t="s">
        <v>206</v>
      </c>
      <c r="M3" s="20" t="s">
        <v>207</v>
      </c>
      <c r="N3" s="23" t="s">
        <v>210</v>
      </c>
    </row>
    <row r="4" spans="1:14" ht="15.75" thickTop="1" x14ac:dyDescent="0.25">
      <c r="A4" s="21">
        <v>2015</v>
      </c>
      <c r="B4" s="22">
        <v>3.6</v>
      </c>
      <c r="C4" s="22">
        <v>3.4</v>
      </c>
      <c r="D4" s="22">
        <v>3.4</v>
      </c>
      <c r="E4" s="22">
        <v>3.1</v>
      </c>
      <c r="F4" s="22">
        <v>3.2</v>
      </c>
      <c r="G4" s="22">
        <v>3.5</v>
      </c>
      <c r="H4" s="22">
        <v>3.4</v>
      </c>
      <c r="I4" s="22">
        <v>3.1</v>
      </c>
      <c r="J4" s="22">
        <v>3.1</v>
      </c>
      <c r="K4" s="22">
        <v>3</v>
      </c>
      <c r="L4" s="22">
        <v>2.9</v>
      </c>
      <c r="M4" s="22">
        <v>3.1</v>
      </c>
      <c r="N4" s="24">
        <f>AVERAGE(B4:M4)</f>
        <v>3.2333333333333329</v>
      </c>
    </row>
    <row r="5" spans="1:14" x14ac:dyDescent="0.25">
      <c r="A5" s="21">
        <v>2016</v>
      </c>
      <c r="B5" s="22">
        <v>3.5</v>
      </c>
      <c r="C5" s="22">
        <v>3.5</v>
      </c>
      <c r="D5" s="22">
        <v>3.4</v>
      </c>
      <c r="E5" s="22">
        <v>3</v>
      </c>
      <c r="F5" s="22">
        <v>2.9</v>
      </c>
      <c r="G5" s="22">
        <v>3.5</v>
      </c>
      <c r="H5" s="22">
        <v>3.4</v>
      </c>
      <c r="I5" s="22">
        <v>3.2</v>
      </c>
      <c r="J5" s="22">
        <v>3.1</v>
      </c>
      <c r="K5" s="22">
        <v>3.1</v>
      </c>
      <c r="L5" s="22">
        <v>2.8</v>
      </c>
      <c r="M5" s="22">
        <v>3</v>
      </c>
      <c r="N5" s="24">
        <f t="shared" ref="N5:N14" si="0">AVERAGE(B5:M5)</f>
        <v>3.1999999999999997</v>
      </c>
    </row>
    <row r="6" spans="1:14" x14ac:dyDescent="0.25">
      <c r="A6" s="21">
        <v>2017</v>
      </c>
      <c r="B6" s="22">
        <v>3.5</v>
      </c>
      <c r="C6" s="22">
        <v>3.4</v>
      </c>
      <c r="D6" s="22">
        <v>3.1</v>
      </c>
      <c r="E6" s="22">
        <v>2.8</v>
      </c>
      <c r="F6" s="22">
        <v>2.9</v>
      </c>
      <c r="G6" s="22">
        <v>3.2</v>
      </c>
      <c r="H6" s="22">
        <v>3.2</v>
      </c>
      <c r="I6" s="22">
        <v>3</v>
      </c>
      <c r="J6" s="22">
        <v>2.7</v>
      </c>
      <c r="K6" s="22">
        <v>2.6</v>
      </c>
      <c r="L6" s="22">
        <v>2.7</v>
      </c>
      <c r="M6" s="22">
        <v>2.8</v>
      </c>
      <c r="N6" s="24">
        <f t="shared" si="0"/>
        <v>2.9916666666666667</v>
      </c>
    </row>
    <row r="7" spans="1:14" x14ac:dyDescent="0.25">
      <c r="A7" s="21">
        <v>2018</v>
      </c>
      <c r="B7" s="22">
        <v>3.2</v>
      </c>
      <c r="C7" s="22">
        <v>3.3</v>
      </c>
      <c r="D7" s="22">
        <v>3.2</v>
      </c>
      <c r="E7" s="22">
        <v>2.9</v>
      </c>
      <c r="F7" s="22">
        <v>2.7</v>
      </c>
      <c r="G7" s="22">
        <v>3.1</v>
      </c>
      <c r="H7" s="22">
        <v>3.1</v>
      </c>
      <c r="I7" s="22">
        <v>2.8</v>
      </c>
      <c r="J7" s="22">
        <v>2.6</v>
      </c>
      <c r="K7" s="22">
        <v>2.7</v>
      </c>
      <c r="L7" s="22">
        <v>2.6</v>
      </c>
      <c r="M7" s="22">
        <v>2.9</v>
      </c>
      <c r="N7" s="24">
        <f t="shared" si="0"/>
        <v>2.9250000000000003</v>
      </c>
    </row>
    <row r="8" spans="1:14" x14ac:dyDescent="0.25">
      <c r="A8" s="21">
        <v>2019</v>
      </c>
      <c r="B8" s="22">
        <v>3.5</v>
      </c>
      <c r="C8" s="22">
        <v>3.4</v>
      </c>
      <c r="D8" s="22">
        <v>3.4</v>
      </c>
      <c r="E8" s="22">
        <v>2.8</v>
      </c>
      <c r="F8" s="22">
        <v>3</v>
      </c>
      <c r="G8" s="22">
        <v>3.3</v>
      </c>
      <c r="H8" s="22">
        <v>3.3</v>
      </c>
      <c r="I8" s="22">
        <v>3</v>
      </c>
      <c r="J8" s="22">
        <v>2.6</v>
      </c>
      <c r="K8" s="22">
        <v>2.8</v>
      </c>
      <c r="L8" s="22">
        <v>2.7</v>
      </c>
      <c r="M8" s="22">
        <v>2.8</v>
      </c>
      <c r="N8" s="24">
        <f t="shared" si="0"/>
        <v>3.0500000000000003</v>
      </c>
    </row>
    <row r="9" spans="1:14" x14ac:dyDescent="0.25">
      <c r="A9" s="21">
        <v>2020</v>
      </c>
      <c r="B9" s="22">
        <v>3.3</v>
      </c>
      <c r="C9" s="22">
        <v>3.1</v>
      </c>
      <c r="D9" s="22">
        <v>5</v>
      </c>
      <c r="E9" s="22">
        <v>9.1</v>
      </c>
      <c r="F9" s="22">
        <v>7.4</v>
      </c>
      <c r="G9" s="22">
        <v>6.5</v>
      </c>
      <c r="H9" s="22">
        <v>5.6</v>
      </c>
      <c r="I9" s="22">
        <v>4</v>
      </c>
      <c r="J9" s="22">
        <v>3.7</v>
      </c>
      <c r="K9" s="22">
        <v>2.8</v>
      </c>
      <c r="L9" s="22">
        <v>2.8</v>
      </c>
      <c r="M9" s="22">
        <v>3.1</v>
      </c>
      <c r="N9" s="24">
        <f t="shared" si="0"/>
        <v>4.7</v>
      </c>
    </row>
    <row r="10" spans="1:14" x14ac:dyDescent="0.25">
      <c r="A10" s="21">
        <v>2021</v>
      </c>
      <c r="B10" s="22">
        <v>3.8</v>
      </c>
      <c r="C10" s="22">
        <v>3.9</v>
      </c>
      <c r="D10" s="22">
        <v>3.5</v>
      </c>
      <c r="E10" s="22">
        <v>3.1</v>
      </c>
      <c r="F10" s="22">
        <v>3</v>
      </c>
      <c r="G10" s="22">
        <v>3.6</v>
      </c>
      <c r="H10" s="22">
        <v>3.2</v>
      </c>
      <c r="I10" s="22">
        <v>2.8</v>
      </c>
      <c r="J10" s="22">
        <v>2.4</v>
      </c>
      <c r="K10" s="22">
        <v>2.4</v>
      </c>
      <c r="L10" s="22">
        <v>2</v>
      </c>
      <c r="M10" s="22">
        <v>2.1</v>
      </c>
      <c r="N10" s="24">
        <f t="shared" si="0"/>
        <v>2.9833333333333329</v>
      </c>
    </row>
    <row r="11" spans="1:14" x14ac:dyDescent="0.25">
      <c r="A11" s="21">
        <v>2022</v>
      </c>
      <c r="B11" s="22">
        <v>2.7</v>
      </c>
      <c r="C11" s="22">
        <v>2.5</v>
      </c>
      <c r="D11" s="22">
        <v>2.4</v>
      </c>
      <c r="E11" s="22">
        <v>2</v>
      </c>
      <c r="F11" s="22">
        <v>2.1</v>
      </c>
      <c r="G11" s="22">
        <v>2.6</v>
      </c>
      <c r="H11" s="22">
        <v>2.6</v>
      </c>
      <c r="I11" s="22">
        <v>2.5</v>
      </c>
      <c r="J11" s="22">
        <v>2.2000000000000002</v>
      </c>
      <c r="K11" s="22">
        <v>2.2999999999999998</v>
      </c>
      <c r="L11" s="22">
        <v>2.2000000000000002</v>
      </c>
      <c r="M11" s="22">
        <v>2.2999999999999998</v>
      </c>
      <c r="N11" s="24">
        <f t="shared" si="0"/>
        <v>2.3666666666666667</v>
      </c>
    </row>
    <row r="12" spans="1:14" x14ac:dyDescent="0.25">
      <c r="A12" s="21">
        <v>2023</v>
      </c>
      <c r="B12" s="22">
        <v>2.5</v>
      </c>
      <c r="C12" s="22">
        <v>2.6</v>
      </c>
      <c r="D12" s="22">
        <v>2.4</v>
      </c>
      <c r="E12" s="22">
        <v>2.1</v>
      </c>
      <c r="F12" s="22">
        <v>2.4</v>
      </c>
      <c r="G12" s="22">
        <v>2.7</v>
      </c>
      <c r="H12" s="22">
        <v>2.6</v>
      </c>
      <c r="I12" s="22">
        <v>2.5</v>
      </c>
      <c r="J12" s="22">
        <v>2.5</v>
      </c>
      <c r="K12" s="22">
        <v>2.7</v>
      </c>
      <c r="L12" s="22">
        <v>2.2999999999999998</v>
      </c>
      <c r="M12" s="22">
        <v>2.5</v>
      </c>
      <c r="N12" s="24">
        <f t="shared" si="0"/>
        <v>2.4833333333333334</v>
      </c>
    </row>
    <row r="13" spans="1:14" x14ac:dyDescent="0.25">
      <c r="A13" s="21">
        <v>2024</v>
      </c>
      <c r="B13" s="22">
        <v>3</v>
      </c>
      <c r="C13" s="22">
        <v>3.2</v>
      </c>
      <c r="D13" s="22">
        <v>2.9</v>
      </c>
      <c r="E13" s="22">
        <v>2.7</v>
      </c>
      <c r="F13" s="22">
        <v>2.8</v>
      </c>
      <c r="G13" s="22">
        <v>3.3</v>
      </c>
      <c r="H13" s="22">
        <v>3.3</v>
      </c>
      <c r="I13" s="22">
        <v>3.1</v>
      </c>
      <c r="J13" s="22">
        <v>2.8</v>
      </c>
      <c r="K13" s="22">
        <v>2.9</v>
      </c>
      <c r="L13" s="22">
        <v>2.8</v>
      </c>
      <c r="M13" s="22">
        <v>2.8</v>
      </c>
      <c r="N13" s="24">
        <f t="shared" si="0"/>
        <v>2.9666666666666668</v>
      </c>
    </row>
    <row r="14" spans="1:14" x14ac:dyDescent="0.25">
      <c r="A14" s="21">
        <v>2025</v>
      </c>
      <c r="B14" s="22">
        <v>3.5</v>
      </c>
      <c r="C14" s="22">
        <v>3.6</v>
      </c>
      <c r="D14" s="22">
        <v>3.1</v>
      </c>
      <c r="E14" s="22">
        <v>3.1</v>
      </c>
      <c r="F14" s="22">
        <v>3.1</v>
      </c>
      <c r="G14" s="22">
        <v>3.4</v>
      </c>
      <c r="H14" s="22">
        <v>3.4</v>
      </c>
      <c r="I14" s="22">
        <v>3.2</v>
      </c>
      <c r="J14" s="22">
        <v>3.1</v>
      </c>
      <c r="K14" s="19" t="s">
        <v>208</v>
      </c>
      <c r="L14" s="22">
        <v>3.1</v>
      </c>
      <c r="M14" s="19"/>
      <c r="N14" s="24">
        <f t="shared" si="0"/>
        <v>3.2599999999999993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Mayor</vt:lpstr>
      <vt:lpstr>desempleo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Stoj, Valerie J. (DC Elect)</dc:creator>
  <cp:lastModifiedBy>ERC A R</cp:lastModifiedBy>
  <dcterms:created xsi:type="dcterms:W3CDTF">2025-06-03T18:49:31Z</dcterms:created>
  <dcterms:modified xsi:type="dcterms:W3CDTF">2026-02-01T00:49:16Z</dcterms:modified>
</cp:coreProperties>
</file>